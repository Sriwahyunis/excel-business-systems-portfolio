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6275" windowHeight="7755"/>
  </bookViews>
  <sheets>
    <sheet name="Read Me" sheetId="1" r:id="rId1"/>
    <sheet name="Dashboard" sheetId="2" r:id="rId2"/>
    <sheet name="Department Master" sheetId="3" r:id="rId3"/>
    <sheet name="Supplier Master" sheetId="4" r:id="rId4"/>
    <sheet name="Category Master" sheetId="5" r:id="rId5"/>
    <sheet name="Item Master" sheetId="6" r:id="rId6"/>
    <sheet name="Purchase Requisition" sheetId="7" r:id="rId7"/>
    <sheet name="Purchase Order" sheetId="8" r:id="rId8"/>
    <sheet name="Goods Receipt" sheetId="9" r:id="rId9"/>
    <sheet name="Procurement Report" sheetId="10" r:id="rId10"/>
    <sheet name="Summary" sheetId="11" r:id="rId11"/>
  </sheets>
  <calcPr calcId="144525"/>
  <pivotCaches>
    <pivotCache cacheId="0" r:id="rId12"/>
  </pivotCaches>
</workbook>
</file>

<file path=xl/calcChain.xml><?xml version="1.0" encoding="utf-8"?>
<calcChain xmlns="http://schemas.openxmlformats.org/spreadsheetml/2006/main">
  <c r="G5" i="9" l="1"/>
  <c r="G4" i="9"/>
  <c r="G3" i="9"/>
  <c r="C7" i="2" l="1"/>
  <c r="B7" i="2"/>
  <c r="B3" i="10" l="1"/>
  <c r="B4" i="10"/>
  <c r="B5" i="10"/>
  <c r="F3" i="10"/>
  <c r="F4" i="10"/>
  <c r="F5" i="10"/>
  <c r="G3" i="10"/>
  <c r="G4" i="10"/>
  <c r="G5" i="10"/>
  <c r="E4" i="10"/>
  <c r="E5" i="10"/>
  <c r="E3" i="10"/>
  <c r="M3" i="8"/>
  <c r="M4" i="8"/>
  <c r="M5" i="8"/>
  <c r="E4" i="8"/>
  <c r="C4" i="10" s="1"/>
  <c r="E5" i="8"/>
  <c r="D5" i="9" s="1"/>
  <c r="F4" i="8"/>
  <c r="E4" i="9" s="1"/>
  <c r="F5" i="8"/>
  <c r="E5" i="9" s="1"/>
  <c r="K4" i="8"/>
  <c r="K5" i="8"/>
  <c r="K3" i="8"/>
  <c r="F3" i="8"/>
  <c r="E3" i="9" s="1"/>
  <c r="E3" i="8"/>
  <c r="D3" i="9" s="1"/>
  <c r="E4" i="7"/>
  <c r="E5" i="7"/>
  <c r="G4" i="8" s="1"/>
  <c r="F4" i="9" s="1"/>
  <c r="E6" i="7"/>
  <c r="G5" i="8" s="1"/>
  <c r="F5" i="9" s="1"/>
  <c r="E7" i="7"/>
  <c r="F4" i="7"/>
  <c r="F5" i="7"/>
  <c r="F6" i="7"/>
  <c r="F7" i="7"/>
  <c r="F3" i="7"/>
  <c r="E3" i="7"/>
  <c r="G3" i="8" s="1"/>
  <c r="F3" i="9" s="1"/>
  <c r="H4" i="8" l="1"/>
  <c r="D7" i="2"/>
  <c r="H5" i="8"/>
  <c r="H3" i="8"/>
  <c r="C5" i="10"/>
  <c r="C3" i="10"/>
  <c r="D4" i="9"/>
  <c r="H5" i="10"/>
  <c r="H4" i="10"/>
  <c r="H3" i="10"/>
  <c r="I5" i="9" l="1"/>
  <c r="J5" i="9" s="1"/>
  <c r="D5" i="10"/>
  <c r="D4" i="10"/>
  <c r="I4" i="9"/>
  <c r="J4" i="9" s="1"/>
  <c r="D3" i="10"/>
  <c r="I3" i="9"/>
  <c r="J3" i="9" s="1"/>
  <c r="I3" i="10"/>
  <c r="I4" i="10"/>
  <c r="I5" i="10"/>
  <c r="E7" i="2" l="1"/>
</calcChain>
</file>

<file path=xl/sharedStrings.xml><?xml version="1.0" encoding="utf-8"?>
<sst xmlns="http://schemas.openxmlformats.org/spreadsheetml/2006/main" count="267" uniqueCount="169">
  <si>
    <t>Department Code</t>
  </si>
  <si>
    <t>Department Name</t>
  </si>
  <si>
    <t>DEP001</t>
  </si>
  <si>
    <t>Finance</t>
  </si>
  <si>
    <t>DEP002</t>
  </si>
  <si>
    <t>HR</t>
  </si>
  <si>
    <t>DEP003</t>
  </si>
  <si>
    <t>Sales</t>
  </si>
  <si>
    <t>DEP004</t>
  </si>
  <si>
    <t>Marketing</t>
  </si>
  <si>
    <t>DEP005</t>
  </si>
  <si>
    <t>IT</t>
  </si>
  <si>
    <t>DEP006</t>
  </si>
  <si>
    <t>Warehouse</t>
  </si>
  <si>
    <t>DEP007</t>
  </si>
  <si>
    <t>Administration</t>
  </si>
  <si>
    <t>Supplier Code</t>
  </si>
  <si>
    <t>Supplier Name</t>
  </si>
  <si>
    <t>Category</t>
  </si>
  <si>
    <t>Contact Person</t>
  </si>
  <si>
    <t>SUP001</t>
  </si>
  <si>
    <t>PT Kertas Indonesia</t>
  </si>
  <si>
    <t>Stationery</t>
  </si>
  <si>
    <t>Andi</t>
  </si>
  <si>
    <t>SUP002</t>
  </si>
  <si>
    <t>PT Office Supply</t>
  </si>
  <si>
    <t>Office Equipment</t>
  </si>
  <si>
    <t>Budi</t>
  </si>
  <si>
    <t>SUP003</t>
  </si>
  <si>
    <t>PT Tech Indonesia</t>
  </si>
  <si>
    <t>Computer Accessories</t>
  </si>
  <si>
    <t>Cindy</t>
  </si>
  <si>
    <t>SUP004</t>
  </si>
  <si>
    <t>PT Pantry Nusantara</t>
  </si>
  <si>
    <t>Pantry</t>
  </si>
  <si>
    <t>Dedi</t>
  </si>
  <si>
    <t>SUP005</t>
  </si>
  <si>
    <t>PT Clean Indo</t>
  </si>
  <si>
    <t>Cleaning Supplies</t>
  </si>
  <si>
    <t>Eka</t>
  </si>
  <si>
    <t>Category Code</t>
  </si>
  <si>
    <t>Category Name</t>
  </si>
  <si>
    <t>CAT001</t>
  </si>
  <si>
    <t>CAT002</t>
  </si>
  <si>
    <t>CAT003</t>
  </si>
  <si>
    <t>CAT004</t>
  </si>
  <si>
    <t>CAT005</t>
  </si>
  <si>
    <t>Item Code</t>
  </si>
  <si>
    <t>Item Name</t>
  </si>
  <si>
    <t>Unit</t>
  </si>
  <si>
    <t>IT001</t>
  </si>
  <si>
    <t>A4 Paper</t>
  </si>
  <si>
    <t>Rim</t>
  </si>
  <si>
    <t>IT002</t>
  </si>
  <si>
    <t>Ballpoint Pen</t>
  </si>
  <si>
    <t>Pcs</t>
  </si>
  <si>
    <t>IT003</t>
  </si>
  <si>
    <t>Notebook A5</t>
  </si>
  <si>
    <t>IT004</t>
  </si>
  <si>
    <t>Printer Ink</t>
  </si>
  <si>
    <t>Box</t>
  </si>
  <si>
    <t>IT005</t>
  </si>
  <si>
    <t>Stapler</t>
  </si>
  <si>
    <t>IT006</t>
  </si>
  <si>
    <t>Mouse Wireless</t>
  </si>
  <si>
    <t>IT007</t>
  </si>
  <si>
    <t>Keyboard</t>
  </si>
  <si>
    <t>IT008</t>
  </si>
  <si>
    <t>Coffee</t>
  </si>
  <si>
    <t>Pack</t>
  </si>
  <si>
    <t>IT009</t>
  </si>
  <si>
    <t>Tissue</t>
  </si>
  <si>
    <t>IT010</t>
  </si>
  <si>
    <t>Whiteboard Marker</t>
  </si>
  <si>
    <t>PR No</t>
  </si>
  <si>
    <t>PR Date</t>
  </si>
  <si>
    <t>Department</t>
  </si>
  <si>
    <t>Qty Requested</t>
  </si>
  <si>
    <t>Requested By</t>
  </si>
  <si>
    <t>Status</t>
  </si>
  <si>
    <t>PR001</t>
  </si>
  <si>
    <t>PR002</t>
  </si>
  <si>
    <t>PR003</t>
  </si>
  <si>
    <t>PR004</t>
  </si>
  <si>
    <t>PR005</t>
  </si>
  <si>
    <t>Sinta</t>
  </si>
  <si>
    <t>Kevin</t>
  </si>
  <si>
    <t>Rudi</t>
  </si>
  <si>
    <t>Maya</t>
  </si>
  <si>
    <t>Approved</t>
  </si>
  <si>
    <t>Pending</t>
  </si>
  <si>
    <t>Rejected</t>
  </si>
  <si>
    <t>PO No</t>
  </si>
  <si>
    <t>PO Date</t>
  </si>
  <si>
    <t>Qty Ordered</t>
  </si>
  <si>
    <t>Unit Price</t>
  </si>
  <si>
    <t>Total</t>
  </si>
  <si>
    <t>PO001</t>
  </si>
  <si>
    <t>PO002</t>
  </si>
  <si>
    <t>PO003</t>
  </si>
  <si>
    <t>Open</t>
  </si>
  <si>
    <t>Closed</t>
  </si>
  <si>
    <t>Partial</t>
  </si>
  <si>
    <t>Approval Check</t>
  </si>
  <si>
    <t>GR No</t>
  </si>
  <si>
    <t>GR Date</t>
  </si>
  <si>
    <t>Supplier</t>
  </si>
  <si>
    <t>Qty Received</t>
  </si>
  <si>
    <t>Outstanding Qty</t>
  </si>
  <si>
    <t>GR001</t>
  </si>
  <si>
    <t>GR002</t>
  </si>
  <si>
    <t>GR003</t>
  </si>
  <si>
    <t>PO Value</t>
  </si>
  <si>
    <t>Row Labels</t>
  </si>
  <si>
    <t>Grand Total</t>
  </si>
  <si>
    <t>Sum of PO Value</t>
  </si>
  <si>
    <t>Completed</t>
  </si>
  <si>
    <t>Count of PO No</t>
  </si>
  <si>
    <t>Project Information</t>
  </si>
  <si>
    <t>Company</t>
  </si>
  <si>
    <t>PT Nusantara Office Supplies</t>
  </si>
  <si>
    <t>Period</t>
  </si>
  <si>
    <t>PT Nusantara Office Supplies (Fictional)</t>
  </si>
  <si>
    <t>Accounting Basis</t>
  </si>
  <si>
    <t>Accrual Basis</t>
  </si>
  <si>
    <t>Currency</t>
  </si>
  <si>
    <t>Indonesian Rupiah (IDR)</t>
  </si>
  <si>
    <t>Software</t>
  </si>
  <si>
    <t>Microsoft Excel</t>
  </si>
  <si>
    <t>Total Purchase Requisition</t>
  </si>
  <si>
    <t>Total Purchase Order</t>
  </si>
  <si>
    <t>Procurement Value</t>
  </si>
  <si>
    <t>Pending Receipts</t>
  </si>
  <si>
    <t>Procurement Value by Supplier</t>
  </si>
  <si>
    <t>Procurement Value by Category</t>
  </si>
  <si>
    <t>Procurement Status</t>
  </si>
  <si>
    <t>Monthly Procurement Trend</t>
  </si>
  <si>
    <t>Procurement Management System</t>
  </si>
  <si>
    <t>Objective</t>
  </si>
  <si>
    <t>Features</t>
  </si>
  <si>
    <t>✅ Supplier Master</t>
  </si>
  <si>
    <t>✅ Dashboard</t>
  </si>
  <si>
    <t>Excel Skills</t>
  </si>
  <si>
    <t>-</t>
  </si>
  <si>
    <t>SUMIFS</t>
  </si>
  <si>
    <t>IF</t>
  </si>
  <si>
    <t>TODAY</t>
  </si>
  <si>
    <t>VLOOKUP/XLOOKUP</t>
  </si>
  <si>
    <t>Data Validation</t>
  </si>
  <si>
    <t>Conditional Formatting</t>
  </si>
  <si>
    <t>Charts</t>
  </si>
  <si>
    <t>This project is a Microsoft Excel-based Procurement Management System designed to manage the procurement process from Purchase Requisition (PR) to Purchase Order (PO), Goods Receipt (GR), procurement reporting, and an interactive dashboard.</t>
  </si>
  <si>
    <t>✅ Department Master</t>
  </si>
  <si>
    <t>✅ Category Master</t>
  </si>
  <si>
    <t>✅ Item Master</t>
  </si>
  <si>
    <t>✅ Purchase Requisition</t>
  </si>
  <si>
    <t>✅ Purchase Order</t>
  </si>
  <si>
    <t>✅ Goods Receipt</t>
  </si>
  <si>
    <t>✅ Procurement Report</t>
  </si>
  <si>
    <t>COUNTIF</t>
  </si>
  <si>
    <t>COUNTA</t>
  </si>
  <si>
    <t>Pivot Tables</t>
  </si>
  <si>
    <t>Prepared By</t>
  </si>
  <si>
    <t>Sri Wahyuni</t>
  </si>
  <si>
    <t>Accounting Portfolio</t>
  </si>
  <si>
    <t>Microsoft Excel Portofolio Project</t>
  </si>
  <si>
    <t>Purchase Requisition</t>
  </si>
  <si>
    <t>Goods Receipt</t>
  </si>
  <si>
    <t>Procurement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</si>
</sst>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-[$Rp-421]* #,##0_-;\-[$Rp-421]* #,##0_-;_-[$Rp-421]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4" fillId="0" borderId="0" xfId="0" applyFont="1" applyFill="1" applyAlignment="1"/>
    <xf numFmtId="0" fontId="0" fillId="0" borderId="3" xfId="0" applyBorder="1"/>
    <xf numFmtId="17" fontId="0" fillId="0" borderId="3" xfId="0" applyNumberFormat="1" applyBorder="1" applyAlignment="1">
      <alignment horizontal="left"/>
    </xf>
    <xf numFmtId="0" fontId="0" fillId="0" borderId="3" xfId="0" applyFill="1" applyBorder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64" fontId="2" fillId="7" borderId="0" xfId="1" applyNumberFormat="1" applyFont="1" applyFill="1" applyAlignment="1">
      <alignment horizontal="center"/>
    </xf>
    <xf numFmtId="1" fontId="2" fillId="4" borderId="0" xfId="1" applyNumberFormat="1" applyFont="1" applyFill="1" applyAlignment="1">
      <alignment horizontal="center"/>
    </xf>
    <xf numFmtId="1" fontId="2" fillId="5" borderId="0" xfId="1" applyNumberFormat="1" applyFont="1" applyFill="1" applyAlignment="1">
      <alignment horizontal="center"/>
    </xf>
    <xf numFmtId="166" fontId="2" fillId="6" borderId="0" xfId="1" applyNumberFormat="1" applyFont="1" applyFill="1" applyAlignment="1"/>
    <xf numFmtId="1" fontId="2" fillId="7" borderId="0" xfId="1" applyNumberFormat="1" applyFont="1" applyFill="1" applyAlignment="1">
      <alignment horizont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165" formatCode="[$-409]d\-mmm\-yy;@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Management System_Portofolio_Sri Wahyuni.xlsx]Summary!PivotTable1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Procurement</a:t>
            </a:r>
            <a:r>
              <a:rPr lang="en-US" baseline="0"/>
              <a:t> Value by Supplier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Summary!$A$2:$A$5</c:f>
              <c:strCache>
                <c:ptCount val="3"/>
                <c:pt idx="0">
                  <c:v>PT Clean Indo</c:v>
                </c:pt>
                <c:pt idx="1">
                  <c:v>PT Kertas Indonesia</c:v>
                </c:pt>
                <c:pt idx="2">
                  <c:v>PT Tech Indonesia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3"/>
                <c:pt idx="0">
                  <c:v>12000</c:v>
                </c:pt>
                <c:pt idx="1">
                  <c:v>58000</c:v>
                </c:pt>
                <c:pt idx="2">
                  <c:v>135000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31168"/>
        <c:axId val="170636352"/>
      </c:barChart>
      <c:catAx>
        <c:axId val="199431168"/>
        <c:scaling>
          <c:orientation val="minMax"/>
        </c:scaling>
        <c:delete val="0"/>
        <c:axPos val="b"/>
        <c:majorTickMark val="out"/>
        <c:minorTickMark val="none"/>
        <c:tickLblPos val="nextTo"/>
        <c:crossAx val="170636352"/>
        <c:crosses val="autoZero"/>
        <c:auto val="1"/>
        <c:lblAlgn val="ctr"/>
        <c:lblOffset val="100"/>
        <c:noMultiLvlLbl val="0"/>
      </c:catAx>
      <c:valAx>
        <c:axId val="17063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431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[Procurement Management System_Portofolio_Sri Wahyuni.xlsx]Summary!PivotTable2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Procurement Value by Category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Summary!$A$8:$A$11</c:f>
              <c:strCache>
                <c:ptCount val="3"/>
                <c:pt idx="0">
                  <c:v>Cleaning Supplies</c:v>
                </c:pt>
                <c:pt idx="1">
                  <c:v>Computer Accessories</c:v>
                </c:pt>
                <c:pt idx="2">
                  <c:v>Stationery</c:v>
                </c:pt>
              </c:strCache>
            </c:strRef>
          </c:cat>
          <c:val>
            <c:numRef>
              <c:f>Summary!$B$8:$B$11</c:f>
              <c:numCache>
                <c:formatCode>General</c:formatCode>
                <c:ptCount val="3"/>
                <c:pt idx="0">
                  <c:v>12000</c:v>
                </c:pt>
                <c:pt idx="1">
                  <c:v>135000</c:v>
                </c:pt>
                <c:pt idx="2">
                  <c:v>58000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33728"/>
        <c:axId val="170638080"/>
      </c:barChart>
      <c:catAx>
        <c:axId val="199433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70638080"/>
        <c:crosses val="autoZero"/>
        <c:auto val="1"/>
        <c:lblAlgn val="ctr"/>
        <c:lblOffset val="100"/>
        <c:noMultiLvlLbl val="0"/>
      </c:catAx>
      <c:valAx>
        <c:axId val="17063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433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Management System_Portofolio_Sri Wahyuni.xlsx]Summary!PivotTable3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Procurement</a:t>
            </a:r>
            <a:r>
              <a:rPr lang="en-US" baseline="0"/>
              <a:t> Status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Summary!$B$13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Summary!$A$14:$A$16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Summary!$B$14:$B$16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Management System_Portofolio_Sri Wahyuni.xlsx]Summary!PivotTable5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Procurement</a:t>
            </a:r>
            <a:r>
              <a:rPr lang="en-US" baseline="0"/>
              <a:t> Trend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Summary!$B$18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Summary!$A$19:$A$22</c:f>
              <c:strCache>
                <c:ptCount val="3"/>
                <c:pt idx="0">
                  <c:v>4-Jan-26</c:v>
                </c:pt>
                <c:pt idx="1">
                  <c:v>6-Jan-26</c:v>
                </c:pt>
                <c:pt idx="2">
                  <c:v>9-Jan-26</c:v>
                </c:pt>
              </c:strCache>
            </c:strRef>
          </c:cat>
          <c:val>
            <c:numRef>
              <c:f>Summary!$B$19:$B$22</c:f>
              <c:numCache>
                <c:formatCode>General</c:formatCode>
                <c:ptCount val="3"/>
                <c:pt idx="0">
                  <c:v>58000</c:v>
                </c:pt>
                <c:pt idx="1">
                  <c:v>135000</c:v>
                </c:pt>
                <c:pt idx="2">
                  <c:v>12000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91104"/>
        <c:axId val="199321280"/>
      </c:lineChart>
      <c:catAx>
        <c:axId val="19979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199321280"/>
        <c:crosses val="autoZero"/>
        <c:auto val="1"/>
        <c:lblAlgn val="ctr"/>
        <c:lblOffset val="100"/>
        <c:noMultiLvlLbl val="0"/>
      </c:catAx>
      <c:valAx>
        <c:axId val="199321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79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8</xdr:row>
      <xdr:rowOff>152400</xdr:rowOff>
    </xdr:from>
    <xdr:to>
      <xdr:col>3</xdr:col>
      <xdr:colOff>447674</xdr:colOff>
      <xdr:row>21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704850</xdr:colOff>
      <xdr:row>8</xdr:row>
      <xdr:rowOff>142874</xdr:rowOff>
    </xdr:from>
    <xdr:to>
      <xdr:col>6</xdr:col>
      <xdr:colOff>95250</xdr:colOff>
      <xdr:row>21</xdr:row>
      <xdr:rowOff>133349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23</xdr:row>
      <xdr:rowOff>38100</xdr:rowOff>
    </xdr:from>
    <xdr:to>
      <xdr:col>3</xdr:col>
      <xdr:colOff>228600</xdr:colOff>
      <xdr:row>36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628650</xdr:colOff>
      <xdr:row>23</xdr:row>
      <xdr:rowOff>95250</xdr:rowOff>
    </xdr:from>
    <xdr:to>
      <xdr:col>5</xdr:col>
      <xdr:colOff>2400300</xdr:colOff>
      <xdr:row>37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ri Wahyuni" refreshedDate="46212.601242592595" createdVersion="4" refreshedVersion="4" minRefreshableVersion="3" recordCount="3">
  <cacheSource type="worksheet">
    <worksheetSource name="tblprocurement"/>
  </cacheSource>
  <cacheFields count="9">
    <cacheField name="PO No" numFmtId="0">
      <sharedItems/>
    </cacheField>
    <cacheField name="PO Date" numFmtId="165">
      <sharedItems containsSemiMixedTypes="0" containsNonDate="0" containsDate="1" containsString="0" minDate="2026-01-04T00:00:00" maxDate="2026-01-10T00:00:00" count="3">
        <d v="2026-01-04T00:00:00"/>
        <d v="2026-01-06T00:00:00"/>
        <d v="2026-01-09T00:00:00"/>
      </sharedItems>
    </cacheField>
    <cacheField name="Supplier" numFmtId="0">
      <sharedItems count="3">
        <s v="PT Kertas Indonesia"/>
        <s v="PT Tech Indonesia"/>
        <s v="PT Clean Indo"/>
      </sharedItems>
    </cacheField>
    <cacheField name="Category" numFmtId="0">
      <sharedItems count="3">
        <s v="Stationery"/>
        <s v="Computer Accessories"/>
        <s v="Cleaning Supplies"/>
      </sharedItems>
    </cacheField>
    <cacheField name="PO Value" numFmtId="164">
      <sharedItems containsSemiMixedTypes="0" containsString="0" containsNumber="1" containsInteger="1" minValue="12000" maxValue="135000"/>
    </cacheField>
    <cacheField name="Qty Ordered" numFmtId="0">
      <sharedItems containsSemiMixedTypes="0" containsString="0" containsNumber="1" containsInteger="1" minValue="5" maxValue="30"/>
    </cacheField>
    <cacheField name="Qty Received" numFmtId="0">
      <sharedItems containsSemiMixedTypes="0" containsString="0" containsNumber="1" containsInteger="1" minValue="5" maxValue="20"/>
    </cacheField>
    <cacheField name="Outstanding Qty" numFmtId="0">
      <sharedItems containsSemiMixedTypes="0" containsString="0" containsNumber="1" containsInteger="1" minValue="0" maxValue="10"/>
    </cacheField>
    <cacheField name="Status" numFmtId="0">
      <sharedItems count="2">
        <s v="Complet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s v="PO001"/>
    <x v="0"/>
    <x v="0"/>
    <x v="0"/>
    <n v="58000"/>
    <n v="20"/>
    <n v="20"/>
    <n v="0"/>
    <x v="0"/>
  </r>
  <r>
    <s v="PO002"/>
    <x v="1"/>
    <x v="1"/>
    <x v="1"/>
    <n v="135000"/>
    <n v="5"/>
    <n v="5"/>
    <n v="0"/>
    <x v="0"/>
  </r>
  <r>
    <s v="PO003"/>
    <x v="2"/>
    <x v="2"/>
    <x v="2"/>
    <n v="12000"/>
    <n v="30"/>
    <n v="20"/>
    <n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1:B5" firstHeaderRow="1" firstDataRow="1" firstDataCol="1"/>
  <pivotFields count="9">
    <pivotField showAll="0"/>
    <pivotField numFmtId="165" showAll="0" defaultSubtotal="0"/>
    <pivotField axis="axisRow" showAll="0">
      <items count="4">
        <item x="2"/>
        <item x="0"/>
        <item x="1"/>
        <item t="default"/>
      </items>
    </pivotField>
    <pivotField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O Val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8:B22" firstHeaderRow="1" firstDataRow="1" firstDataCol="1"/>
  <pivotFields count="9">
    <pivotField showAll="0"/>
    <pivotField axis="axisRow" numFmtId="165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O Val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13:B16" firstHeaderRow="1" firstDataRow="1" firstDataCol="1"/>
  <pivotFields count="9">
    <pivotField dataField="1" showAll="0"/>
    <pivotField numFmtId="165" showAll="0" defaultSubtotal="0"/>
    <pivotField showAll="0"/>
    <pivotField showAll="0"/>
    <pivotField numFmtId="16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PO No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7:B11" firstHeaderRow="1" firstDataRow="1" firstDataCol="1"/>
  <pivotFields count="9">
    <pivotField showAll="0"/>
    <pivotField numFmtId="165" showAll="0" defaultSubtotal="0"/>
    <pivotField showAll="0"/>
    <pivotField axis="axisRow" showAll="0">
      <items count="4">
        <item x="2"/>
        <item x="1"/>
        <item x="0"/>
        <item t="default"/>
      </items>
    </pivotField>
    <pivotField dataField="1" numFmtId="164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O Val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department" displayName="tbldepartment" ref="A1:B8" totalsRowShown="0" headerRowDxfId="18">
  <autoFilter ref="A1:B8"/>
  <tableColumns count="2">
    <tableColumn id="1" name="Department Code"/>
    <tableColumn id="2" name="Department Nam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blsuplier" displayName="tblsuplier" ref="A1:D6" totalsRowShown="0" headerRowDxfId="17">
  <autoFilter ref="A1:D6"/>
  <tableColumns count="4">
    <tableColumn id="1" name="Supplier Code"/>
    <tableColumn id="2" name="Supplier Name"/>
    <tableColumn id="3" name="Category"/>
    <tableColumn id="4" name="Contact Person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id="3" name="tblcategory" displayName="tblcategory" ref="A1:B6" totalsRowShown="0" headerRowDxfId="16">
  <autoFilter ref="A1:B6"/>
  <tableColumns count="2">
    <tableColumn id="1" name="Category Code"/>
    <tableColumn id="2" name="Category Nam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id="4" name="tblitem" displayName="tblitem" ref="A1:D11" totalsRowShown="0" headerRowDxfId="15">
  <autoFilter ref="A1:D11"/>
  <tableColumns count="4">
    <tableColumn id="1" name="Item Code"/>
    <tableColumn id="2" name="Item Name"/>
    <tableColumn id="3" name="Category"/>
    <tableColumn id="4" name="Unit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id="5" name="tblpurchase" displayName="tblpurchase" ref="A2:I7" totalsRowShown="0" headerRowDxfId="14">
  <autoFilter ref="A2:I7"/>
  <tableColumns count="9">
    <tableColumn id="1" name="PR No"/>
    <tableColumn id="2" name="PR Date"/>
    <tableColumn id="3" name="Department"/>
    <tableColumn id="4" name="Item Code"/>
    <tableColumn id="5" name="Item Name">
      <calculatedColumnFormula>VLOOKUP(tblpurchase[Item Code],tblitem[[#All],[Item Code]:[Item Name]],2,0)</calculatedColumnFormula>
    </tableColumn>
    <tableColumn id="6" name="Category">
      <calculatedColumnFormula>VLOOKUP(tblpurchase[Item Code],tblitem[[#All],[Item Code]:[Category]],3,0)</calculatedColumnFormula>
    </tableColumn>
    <tableColumn id="7" name="Qty Requested"/>
    <tableColumn id="8" name="Requested By"/>
    <tableColumn id="9" name="Statu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blpurchaseorder" displayName="tblpurchaseorder" ref="A2:M5" totalsRowShown="0" headerRowDxfId="13">
  <autoFilter ref="A2:M5"/>
  <tableColumns count="13">
    <tableColumn id="1" name="PO No"/>
    <tableColumn id="2" name="PO Date"/>
    <tableColumn id="3" name="PR No"/>
    <tableColumn id="4" name="Supplier Code"/>
    <tableColumn id="5" name="Supplier Name">
      <calculatedColumnFormula>VLOOKUP(tblpurchaseorder[Supplier Code],tblsuplier[[#All],[Supplier Code]:[Supplier Name]],2,0)</calculatedColumnFormula>
    </tableColumn>
    <tableColumn id="6" name="Item Code">
      <calculatedColumnFormula>VLOOKUP(tblpurchaseorder[PR No],tblpurchase[[#All],[PR No]:[Item Code]],4,0)</calculatedColumnFormula>
    </tableColumn>
    <tableColumn id="7" name="Item Name">
      <calculatedColumnFormula>VLOOKUP(tblpurchaseorder[PR No],tblpurchase[[#All],[PR No]:[Item Name]],5,0)</calculatedColumnFormula>
    </tableColumn>
    <tableColumn id="13" name="Category" dataDxfId="12">
      <calculatedColumnFormula>VLOOKUP(tblpurchaseorder[[#This Row],[Item Code]],tblitem[[#All],[Item Code]:[Category]],3,0)</calculatedColumnFormula>
    </tableColumn>
    <tableColumn id="8" name="Qty Ordered"/>
    <tableColumn id="9" name="Unit Price" dataDxfId="11" dataCellStyle="Comma"/>
    <tableColumn id="10" name="Total" dataDxfId="10" dataCellStyle="Comma">
      <calculatedColumnFormula>tblpurchaseorder[Qty Ordered]*tblpurchaseorder[Unit Price]</calculatedColumnFormula>
    </tableColumn>
    <tableColumn id="11" name="Status"/>
    <tableColumn id="12" name="Approval Check" dataDxfId="9">
      <calculatedColumnFormula>VLOOKUP(tblpurchaseorder[[#This Row],[PR No]],tblpurchase[#All],9,0)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7" name="tblgoodpurchase" displayName="tblgoodpurchase" ref="A2:J5" totalsRowShown="0" headerRowDxfId="8">
  <autoFilter ref="A2:J5"/>
  <tableColumns count="10">
    <tableColumn id="1" name="GR No"/>
    <tableColumn id="2" name="GR Date"/>
    <tableColumn id="3" name="PO No"/>
    <tableColumn id="4" name="Supplier">
      <calculatedColumnFormula>VLOOKUP(tblgoodpurchase[PO No],tblpurchaseorder[[#All],[PO No]:[Supplier Name]],5,0)</calculatedColumnFormula>
    </tableColumn>
    <tableColumn id="5" name="Item Code">
      <calculatedColumnFormula>VLOOKUP(tblgoodpurchase[PO No],tblpurchaseorder[[#All],[PO No]:[Item Code]],6,0)</calculatedColumnFormula>
    </tableColumn>
    <tableColumn id="6" name="Item Name">
      <calculatedColumnFormula>VLOOKUP(tblgoodpurchase[PO No],tblpurchaseorder[[#All],[PO No]:[Item Name]],7,0)</calculatedColumnFormula>
    </tableColumn>
    <tableColumn id="7" name="Qty Ordered" dataDxfId="0">
      <calculatedColumnFormula>VLOOKUP(tblgoodpurchase[PO No],tblpurchaseorder[[#All],[PO No]:[Qty Ordered]],9,0)</calculatedColumnFormula>
    </tableColumn>
    <tableColumn id="8" name="Qty Received"/>
    <tableColumn id="9" name="Outstanding Qty">
      <calculatedColumnFormula>tblgoodpurchase[Qty Ordered]-tblgoodpurchase[Qty Received]</calculatedColumnFormula>
    </tableColumn>
    <tableColumn id="10" name="Status">
      <calculatedColumnFormula>IF(tblgoodpurchase[Outstanding Qty]=0,"Complete","Partial")</calculatedColumnFormula>
    </tableColumn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8" name="tblprocurement" displayName="tblprocurement" ref="A2:I5" totalsRowShown="0" headerRowDxfId="7">
  <autoFilter ref="A2:I5"/>
  <tableColumns count="9">
    <tableColumn id="1" name="PO No"/>
    <tableColumn id="9" name="PO Date" dataDxfId="6">
      <calculatedColumnFormula>VLOOKUP(tblprocurement[[#This Row],[PO No]],tblpurchaseorder[[#All],[PO No]:[PO Date]],2,0)</calculatedColumnFormula>
    </tableColumn>
    <tableColumn id="2" name="Supplier" dataDxfId="5">
      <calculatedColumnFormula>VLOOKUP(tblprocurement[[#This Row],[PO No]],tblpurchaseorder[[#All],[PO No]:[Supplier Name]],5,0)</calculatedColumnFormula>
    </tableColumn>
    <tableColumn id="3" name="Category" dataDxfId="4">
      <calculatedColumnFormula>VLOOKUP(tblprocurement[[#This Row],[PO No]],tblpurchaseorder[[#All],[PO No]:[Category]],8,0)</calculatedColumnFormula>
    </tableColumn>
    <tableColumn id="4" name="PO Value" dataDxfId="3" dataCellStyle="Comma">
      <calculatedColumnFormula>VLOOKUP(tblprocurement[PO No],tblpurchaseorder[[#All],[PO No]:[Total]],10,0)</calculatedColumnFormula>
    </tableColumn>
    <tableColumn id="5" name="Qty Ordered" dataDxfId="2">
      <calculatedColumnFormula>VLOOKUP(tblprocurement[PO No],tblpurchaseorder[[#All],[PO No]:[Qty Ordered]],9,0)</calculatedColumnFormula>
    </tableColumn>
    <tableColumn id="6" name="Qty Received" dataDxfId="1">
      <calculatedColumnFormula>SUMIFS(tblgoodpurchase[Qty Received],tblgoodpurchase[PO No],tblgoodpurchase[[#This Row],[PO No]])</calculatedColumnFormula>
    </tableColumn>
    <tableColumn id="7" name="Outstanding Qty">
      <calculatedColumnFormula>tblprocurement[Qty Ordered]-tblprocurement[Qty Received]</calculatedColumnFormula>
    </tableColumn>
    <tableColumn id="8" name="Status">
      <calculatedColumnFormula>IF(tblprocurement[Outstanding Qty]=0,"Completed","Pending")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showGridLines="0" tabSelected="1" workbookViewId="0">
      <selection activeCell="F11" sqref="F11"/>
    </sheetView>
  </sheetViews>
  <sheetFormatPr defaultRowHeight="15" x14ac:dyDescent="0.25"/>
  <cols>
    <col min="1" max="1" width="4.5703125" customWidth="1"/>
  </cols>
  <sheetData>
    <row r="1" spans="1:11" ht="23.25" x14ac:dyDescent="0.35">
      <c r="A1" s="29" t="s">
        <v>137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4" t="s">
        <v>119</v>
      </c>
    </row>
    <row r="3" spans="1:11" ht="21" x14ac:dyDescent="0.35">
      <c r="A3" s="25" t="s">
        <v>120</v>
      </c>
    </row>
    <row r="5" spans="1:11" ht="18.75" x14ac:dyDescent="0.3">
      <c r="A5" s="26" t="s">
        <v>138</v>
      </c>
    </row>
    <row r="6" spans="1:11" ht="15" customHeight="1" x14ac:dyDescent="0.25">
      <c r="A6" s="30" t="s">
        <v>151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</row>
    <row r="9" spans="1:1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18.75" x14ac:dyDescent="0.3">
      <c r="A10" s="26" t="s">
        <v>139</v>
      </c>
    </row>
    <row r="11" spans="1:11" x14ac:dyDescent="0.25">
      <c r="A11" t="s">
        <v>152</v>
      </c>
    </row>
    <row r="12" spans="1:11" x14ac:dyDescent="0.25">
      <c r="A12" t="s">
        <v>140</v>
      </c>
    </row>
    <row r="13" spans="1:11" x14ac:dyDescent="0.25">
      <c r="A13" t="s">
        <v>153</v>
      </c>
    </row>
    <row r="14" spans="1:11" x14ac:dyDescent="0.25">
      <c r="A14" t="s">
        <v>154</v>
      </c>
    </row>
    <row r="15" spans="1:11" x14ac:dyDescent="0.25">
      <c r="A15" t="s">
        <v>155</v>
      </c>
    </row>
    <row r="16" spans="1:11" x14ac:dyDescent="0.25">
      <c r="A16" t="s">
        <v>156</v>
      </c>
    </row>
    <row r="17" spans="1:2" x14ac:dyDescent="0.25">
      <c r="A17" t="s">
        <v>157</v>
      </c>
    </row>
    <row r="18" spans="1:2" x14ac:dyDescent="0.25">
      <c r="A18" t="s">
        <v>158</v>
      </c>
    </row>
    <row r="19" spans="1:2" x14ac:dyDescent="0.25">
      <c r="A19" t="s">
        <v>141</v>
      </c>
    </row>
    <row r="21" spans="1:2" ht="18.75" x14ac:dyDescent="0.3">
      <c r="A21" s="26" t="s">
        <v>142</v>
      </c>
    </row>
    <row r="22" spans="1:2" x14ac:dyDescent="0.25">
      <c r="A22" s="28" t="s">
        <v>143</v>
      </c>
      <c r="B22" t="s">
        <v>144</v>
      </c>
    </row>
    <row r="23" spans="1:2" x14ac:dyDescent="0.25">
      <c r="A23" s="28" t="s">
        <v>143</v>
      </c>
      <c r="B23" t="s">
        <v>145</v>
      </c>
    </row>
    <row r="24" spans="1:2" x14ac:dyDescent="0.25">
      <c r="A24" s="28" t="s">
        <v>143</v>
      </c>
      <c r="B24" t="s">
        <v>146</v>
      </c>
    </row>
    <row r="25" spans="1:2" x14ac:dyDescent="0.25">
      <c r="A25" s="28" t="s">
        <v>143</v>
      </c>
      <c r="B25" t="s">
        <v>147</v>
      </c>
    </row>
    <row r="26" spans="1:2" x14ac:dyDescent="0.25">
      <c r="A26" s="28" t="s">
        <v>143</v>
      </c>
      <c r="B26" t="s">
        <v>148</v>
      </c>
    </row>
    <row r="27" spans="1:2" x14ac:dyDescent="0.25">
      <c r="A27" s="28" t="s">
        <v>143</v>
      </c>
      <c r="B27" t="s">
        <v>149</v>
      </c>
    </row>
    <row r="28" spans="1:2" x14ac:dyDescent="0.25">
      <c r="A28" s="28" t="s">
        <v>143</v>
      </c>
      <c r="B28" t="s">
        <v>150</v>
      </c>
    </row>
    <row r="29" spans="1:2" x14ac:dyDescent="0.25">
      <c r="A29" s="28" t="s">
        <v>143</v>
      </c>
      <c r="B29" t="s">
        <v>159</v>
      </c>
    </row>
    <row r="30" spans="1:2" x14ac:dyDescent="0.25">
      <c r="A30" s="28" t="s">
        <v>143</v>
      </c>
      <c r="B30" t="s">
        <v>160</v>
      </c>
    </row>
    <row r="31" spans="1:2" x14ac:dyDescent="0.25">
      <c r="A31" s="28" t="s">
        <v>143</v>
      </c>
      <c r="B31" t="s">
        <v>161</v>
      </c>
    </row>
  </sheetData>
  <mergeCells count="2">
    <mergeCell ref="A1:K1"/>
    <mergeCell ref="A6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showGridLines="0" workbookViewId="0">
      <selection activeCell="B1" sqref="B1:E1"/>
    </sheetView>
  </sheetViews>
  <sheetFormatPr defaultRowHeight="15" x14ac:dyDescent="0.25"/>
  <cols>
    <col min="2" max="2" width="24.85546875" bestFit="1" customWidth="1"/>
    <col min="3" max="3" width="19.7109375" bestFit="1" customWidth="1"/>
    <col min="4" max="4" width="18.42578125" bestFit="1" customWidth="1"/>
    <col min="5" max="5" width="18" bestFit="1" customWidth="1"/>
    <col min="6" max="6" width="38" customWidth="1"/>
    <col min="9" max="9" width="15.85546875" bestFit="1" customWidth="1"/>
    <col min="10" max="10" width="27" bestFit="1" customWidth="1"/>
  </cols>
  <sheetData>
    <row r="1" spans="2:10" ht="15" customHeight="1" x14ac:dyDescent="0.35">
      <c r="B1" s="33" t="s">
        <v>137</v>
      </c>
      <c r="C1" s="33"/>
      <c r="D1" s="33"/>
      <c r="E1" s="33"/>
      <c r="F1" s="21"/>
      <c r="G1" s="9"/>
      <c r="H1" s="9"/>
      <c r="I1" s="31" t="s">
        <v>118</v>
      </c>
      <c r="J1" s="32"/>
    </row>
    <row r="2" spans="2:10" ht="15" customHeight="1" x14ac:dyDescent="0.35">
      <c r="B2" s="34" t="s">
        <v>165</v>
      </c>
      <c r="C2" s="34"/>
      <c r="D2" s="34"/>
      <c r="E2" s="34"/>
      <c r="F2" s="22"/>
      <c r="G2" s="9"/>
      <c r="H2" s="9"/>
      <c r="I2" s="10" t="s">
        <v>119</v>
      </c>
      <c r="J2" s="10" t="s">
        <v>120</v>
      </c>
    </row>
    <row r="3" spans="2:10" ht="15" customHeight="1" x14ac:dyDescent="0.35">
      <c r="B3" s="35" t="s">
        <v>122</v>
      </c>
      <c r="C3" s="35"/>
      <c r="D3" s="35"/>
      <c r="E3" s="35"/>
      <c r="F3" s="23"/>
      <c r="G3" s="9"/>
      <c r="H3" s="9"/>
      <c r="I3" s="10" t="s">
        <v>121</v>
      </c>
      <c r="J3" s="11">
        <v>46023</v>
      </c>
    </row>
    <row r="4" spans="2:10" ht="15" customHeight="1" x14ac:dyDescent="0.35">
      <c r="G4" s="9"/>
      <c r="H4" s="9"/>
      <c r="I4" s="12" t="s">
        <v>123</v>
      </c>
      <c r="J4" s="12" t="s">
        <v>124</v>
      </c>
    </row>
    <row r="5" spans="2:10" x14ac:dyDescent="0.25">
      <c r="I5" s="10" t="s">
        <v>125</v>
      </c>
      <c r="J5" s="10" t="s">
        <v>126</v>
      </c>
    </row>
    <row r="6" spans="2:10" x14ac:dyDescent="0.25">
      <c r="B6" s="13" t="s">
        <v>129</v>
      </c>
      <c r="C6" s="14" t="s">
        <v>130</v>
      </c>
      <c r="D6" s="15" t="s">
        <v>131</v>
      </c>
      <c r="E6" s="16" t="s">
        <v>132</v>
      </c>
      <c r="I6" s="10" t="s">
        <v>127</v>
      </c>
      <c r="J6" s="10" t="s">
        <v>128</v>
      </c>
    </row>
    <row r="7" spans="2:10" x14ac:dyDescent="0.25">
      <c r="B7" s="17">
        <f>COUNTA(tblpurchase[PR No])</f>
        <v>5</v>
      </c>
      <c r="C7" s="18">
        <f>COUNTA(tblpurchaseorder[PO No])</f>
        <v>3</v>
      </c>
      <c r="D7" s="19">
        <f>SUM(tblprocurement[PO Value])</f>
        <v>205000</v>
      </c>
      <c r="E7" s="20">
        <f>COUNTIF(tblprocurement[Status],"pending")</f>
        <v>1</v>
      </c>
    </row>
    <row r="39" spans="1:1" x14ac:dyDescent="0.25">
      <c r="A39" t="s">
        <v>162</v>
      </c>
    </row>
    <row r="40" spans="1:1" x14ac:dyDescent="0.25">
      <c r="A40" t="s">
        <v>163</v>
      </c>
    </row>
    <row r="41" spans="1:1" x14ac:dyDescent="0.25">
      <c r="A41" t="s">
        <v>164</v>
      </c>
    </row>
    <row r="42" spans="1:1" x14ac:dyDescent="0.25">
      <c r="A42" t="s">
        <v>128</v>
      </c>
    </row>
  </sheetData>
  <mergeCells count="4">
    <mergeCell ref="I1:J1"/>
    <mergeCell ref="B1:E1"/>
    <mergeCell ref="B2:E2"/>
    <mergeCell ref="B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11" sqref="D11"/>
    </sheetView>
  </sheetViews>
  <sheetFormatPr defaultRowHeight="15" x14ac:dyDescent="0.25"/>
  <cols>
    <col min="1" max="1" width="21.42578125" bestFit="1" customWidth="1"/>
    <col min="2" max="2" width="2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22" sqref="C22"/>
    </sheetView>
  </sheetViews>
  <sheetFormatPr defaultRowHeight="15" x14ac:dyDescent="0.25"/>
  <cols>
    <col min="1" max="1" width="18.140625" bestFit="1" customWidth="1"/>
    <col min="2" max="2" width="19" bestFit="1" customWidth="1"/>
    <col min="3" max="3" width="20.85546875" bestFit="1" customWidth="1"/>
    <col min="4" max="4" width="19" bestFit="1" customWidth="1"/>
  </cols>
  <sheetData>
    <row r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A3" t="s">
        <v>24</v>
      </c>
      <c r="B3" t="s">
        <v>25</v>
      </c>
      <c r="C3" t="s">
        <v>26</v>
      </c>
      <c r="D3" t="s">
        <v>27</v>
      </c>
    </row>
    <row r="4" spans="1:4" x14ac:dyDescent="0.25">
      <c r="A4" t="s">
        <v>28</v>
      </c>
      <c r="B4" t="s">
        <v>29</v>
      </c>
      <c r="C4" t="s">
        <v>30</v>
      </c>
      <c r="D4" t="s">
        <v>31</v>
      </c>
    </row>
    <row r="5" spans="1:4" x14ac:dyDescent="0.25">
      <c r="A5" t="s">
        <v>32</v>
      </c>
      <c r="B5" t="s">
        <v>33</v>
      </c>
      <c r="C5" t="s">
        <v>34</v>
      </c>
      <c r="D5" t="s">
        <v>35</v>
      </c>
    </row>
    <row r="6" spans="1:4" x14ac:dyDescent="0.25">
      <c r="A6" t="s">
        <v>36</v>
      </c>
      <c r="B6" t="s">
        <v>37</v>
      </c>
      <c r="C6" t="s">
        <v>38</v>
      </c>
      <c r="D6" t="s">
        <v>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9" sqref="F9"/>
    </sheetView>
  </sheetViews>
  <sheetFormatPr defaultRowHeight="15" x14ac:dyDescent="0.25"/>
  <cols>
    <col min="1" max="1" width="18.5703125" bestFit="1" customWidth="1"/>
    <col min="2" max="2" width="20.85546875" bestFit="1" customWidth="1"/>
  </cols>
  <sheetData>
    <row r="1" spans="1:2" x14ac:dyDescent="0.25">
      <c r="A1" s="1" t="s">
        <v>40</v>
      </c>
      <c r="B1" s="1" t="s">
        <v>41</v>
      </c>
    </row>
    <row r="2" spans="1:2" x14ac:dyDescent="0.25">
      <c r="A2" t="s">
        <v>42</v>
      </c>
      <c r="B2" t="s">
        <v>22</v>
      </c>
    </row>
    <row r="3" spans="1:2" x14ac:dyDescent="0.25">
      <c r="A3" t="s">
        <v>43</v>
      </c>
      <c r="B3" t="s">
        <v>26</v>
      </c>
    </row>
    <row r="4" spans="1:2" x14ac:dyDescent="0.25">
      <c r="A4" t="s">
        <v>44</v>
      </c>
      <c r="B4" t="s">
        <v>30</v>
      </c>
    </row>
    <row r="5" spans="1:2" x14ac:dyDescent="0.25">
      <c r="A5" t="s">
        <v>45</v>
      </c>
      <c r="B5" t="s">
        <v>34</v>
      </c>
    </row>
    <row r="6" spans="1:2" x14ac:dyDescent="0.25">
      <c r="A6" t="s">
        <v>46</v>
      </c>
      <c r="B6" t="s">
        <v>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7" sqref="C7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20.85546875" bestFit="1" customWidth="1"/>
    <col min="4" max="4" width="9.42578125" bestFit="1" customWidth="1"/>
  </cols>
  <sheetData>
    <row r="1" spans="1:4" x14ac:dyDescent="0.25">
      <c r="A1" s="1" t="s">
        <v>47</v>
      </c>
      <c r="B1" s="1" t="s">
        <v>48</v>
      </c>
      <c r="C1" s="1" t="s">
        <v>18</v>
      </c>
      <c r="D1" s="1" t="s">
        <v>49</v>
      </c>
    </row>
    <row r="2" spans="1:4" x14ac:dyDescent="0.25">
      <c r="A2" t="s">
        <v>50</v>
      </c>
      <c r="B2" t="s">
        <v>51</v>
      </c>
      <c r="C2" t="s">
        <v>22</v>
      </c>
      <c r="D2" t="s">
        <v>52</v>
      </c>
    </row>
    <row r="3" spans="1:4" x14ac:dyDescent="0.25">
      <c r="A3" t="s">
        <v>53</v>
      </c>
      <c r="B3" t="s">
        <v>54</v>
      </c>
      <c r="C3" t="s">
        <v>22</v>
      </c>
      <c r="D3" t="s">
        <v>55</v>
      </c>
    </row>
    <row r="4" spans="1:4" x14ac:dyDescent="0.25">
      <c r="A4" t="s">
        <v>56</v>
      </c>
      <c r="B4" t="s">
        <v>57</v>
      </c>
      <c r="C4" t="s">
        <v>22</v>
      </c>
      <c r="D4" t="s">
        <v>55</v>
      </c>
    </row>
    <row r="5" spans="1:4" x14ac:dyDescent="0.25">
      <c r="A5" t="s">
        <v>58</v>
      </c>
      <c r="B5" t="s">
        <v>59</v>
      </c>
      <c r="C5" t="s">
        <v>26</v>
      </c>
      <c r="D5" t="s">
        <v>60</v>
      </c>
    </row>
    <row r="6" spans="1:4" x14ac:dyDescent="0.25">
      <c r="A6" t="s">
        <v>61</v>
      </c>
      <c r="B6" t="s">
        <v>62</v>
      </c>
      <c r="C6" t="s">
        <v>26</v>
      </c>
      <c r="D6" t="s">
        <v>55</v>
      </c>
    </row>
    <row r="7" spans="1:4" x14ac:dyDescent="0.25">
      <c r="A7" t="s">
        <v>63</v>
      </c>
      <c r="B7" t="s">
        <v>64</v>
      </c>
      <c r="C7" t="s">
        <v>30</v>
      </c>
      <c r="D7" t="s">
        <v>55</v>
      </c>
    </row>
    <row r="8" spans="1:4" x14ac:dyDescent="0.25">
      <c r="A8" t="s">
        <v>65</v>
      </c>
      <c r="B8" t="s">
        <v>66</v>
      </c>
      <c r="C8" t="s">
        <v>30</v>
      </c>
      <c r="D8" t="s">
        <v>55</v>
      </c>
    </row>
    <row r="9" spans="1:4" x14ac:dyDescent="0.25">
      <c r="A9" t="s">
        <v>67</v>
      </c>
      <c r="B9" t="s">
        <v>68</v>
      </c>
      <c r="C9" t="s">
        <v>34</v>
      </c>
      <c r="D9" t="s">
        <v>69</v>
      </c>
    </row>
    <row r="10" spans="1:4" x14ac:dyDescent="0.25">
      <c r="A10" t="s">
        <v>70</v>
      </c>
      <c r="B10" t="s">
        <v>71</v>
      </c>
      <c r="C10" t="s">
        <v>38</v>
      </c>
      <c r="D10" t="s">
        <v>69</v>
      </c>
    </row>
    <row r="11" spans="1:4" x14ac:dyDescent="0.25">
      <c r="A11" t="s">
        <v>72</v>
      </c>
      <c r="B11" t="s">
        <v>73</v>
      </c>
      <c r="C11" t="s">
        <v>22</v>
      </c>
      <c r="D11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XFD1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6.28515625" bestFit="1" customWidth="1"/>
    <col min="4" max="4" width="14.7109375" bestFit="1" customWidth="1"/>
    <col min="5" max="5" width="15.42578125" bestFit="1" customWidth="1"/>
    <col min="6" max="6" width="20.85546875" bestFit="1" customWidth="1"/>
    <col min="7" max="7" width="18.85546875" bestFit="1" customWidth="1"/>
    <col min="8" max="8" width="17.85546875" bestFit="1" customWidth="1"/>
    <col min="9" max="9" width="11" bestFit="1" customWidth="1"/>
  </cols>
  <sheetData>
    <row r="1" spans="1:9" ht="23.25" x14ac:dyDescent="0.25">
      <c r="A1" s="33" t="s">
        <v>166</v>
      </c>
      <c r="B1" s="33"/>
      <c r="C1" s="33"/>
      <c r="D1" s="33"/>
      <c r="E1" s="33"/>
      <c r="F1" s="33"/>
      <c r="G1" s="33"/>
      <c r="H1" s="33"/>
      <c r="I1" s="33"/>
    </row>
    <row r="2" spans="1:9" x14ac:dyDescent="0.25">
      <c r="A2" s="1" t="s">
        <v>74</v>
      </c>
      <c r="B2" s="1" t="s">
        <v>75</v>
      </c>
      <c r="C2" s="1" t="s">
        <v>76</v>
      </c>
      <c r="D2" s="1" t="s">
        <v>47</v>
      </c>
      <c r="E2" s="1" t="s">
        <v>48</v>
      </c>
      <c r="F2" s="1" t="s">
        <v>18</v>
      </c>
      <c r="G2" s="1" t="s">
        <v>77</v>
      </c>
      <c r="H2" s="1" t="s">
        <v>78</v>
      </c>
      <c r="I2" s="1" t="s">
        <v>79</v>
      </c>
    </row>
    <row r="3" spans="1:9" x14ac:dyDescent="0.25">
      <c r="A3" t="s">
        <v>80</v>
      </c>
      <c r="B3" s="2">
        <v>46024</v>
      </c>
      <c r="C3" t="s">
        <v>3</v>
      </c>
      <c r="D3" t="s">
        <v>50</v>
      </c>
      <c r="E3" t="str">
        <f>VLOOKUP(tblpurchase[Item Code],tblitem[[#All],[Item Code]:[Item Name]],2,0)</f>
        <v>A4 Paper</v>
      </c>
      <c r="F3" t="str">
        <f>VLOOKUP(tblpurchase[Item Code],tblitem[[#All],[Item Code]:[Category]],3,0)</f>
        <v>Stationery</v>
      </c>
      <c r="G3">
        <v>20</v>
      </c>
      <c r="H3" t="s">
        <v>27</v>
      </c>
      <c r="I3" t="s">
        <v>89</v>
      </c>
    </row>
    <row r="4" spans="1:9" x14ac:dyDescent="0.25">
      <c r="A4" t="s">
        <v>81</v>
      </c>
      <c r="B4" s="2">
        <v>46025</v>
      </c>
      <c r="C4" t="s">
        <v>5</v>
      </c>
      <c r="D4" t="s">
        <v>53</v>
      </c>
      <c r="E4" t="str">
        <f>VLOOKUP(tblpurchase[Item Code],tblitem[[#All],[Item Code]:[Item Name]],2,0)</f>
        <v>Ballpoint Pen</v>
      </c>
      <c r="F4" t="str">
        <f>VLOOKUP(tblpurchase[Item Code],tblitem[[#All],[Item Code]:[Category]],3,0)</f>
        <v>Stationery</v>
      </c>
      <c r="G4">
        <v>50</v>
      </c>
      <c r="H4" t="s">
        <v>85</v>
      </c>
      <c r="I4" t="s">
        <v>90</v>
      </c>
    </row>
    <row r="5" spans="1:9" x14ac:dyDescent="0.25">
      <c r="A5" t="s">
        <v>82</v>
      </c>
      <c r="B5" s="2">
        <v>46027</v>
      </c>
      <c r="C5" t="s">
        <v>11</v>
      </c>
      <c r="D5" t="s">
        <v>63</v>
      </c>
      <c r="E5" t="str">
        <f>VLOOKUP(tblpurchase[Item Code],tblitem[[#All],[Item Code]:[Item Name]],2,0)</f>
        <v>Mouse Wireless</v>
      </c>
      <c r="F5" t="str">
        <f>VLOOKUP(tblpurchase[Item Code],tblitem[[#All],[Item Code]:[Category]],3,0)</f>
        <v>Computer Accessories</v>
      </c>
      <c r="G5">
        <v>5</v>
      </c>
      <c r="H5" t="s">
        <v>86</v>
      </c>
      <c r="I5" t="s">
        <v>89</v>
      </c>
    </row>
    <row r="6" spans="1:9" x14ac:dyDescent="0.25">
      <c r="A6" t="s">
        <v>83</v>
      </c>
      <c r="B6" s="2">
        <v>46030</v>
      </c>
      <c r="C6" t="s">
        <v>13</v>
      </c>
      <c r="D6" t="s">
        <v>70</v>
      </c>
      <c r="E6" t="str">
        <f>VLOOKUP(tblpurchase[Item Code],tblitem[[#All],[Item Code]:[Item Name]],2,0)</f>
        <v>Tissue</v>
      </c>
      <c r="F6" t="str">
        <f>VLOOKUP(tblpurchase[Item Code],tblitem[[#All],[Item Code]:[Category]],3,0)</f>
        <v>Cleaning Supplies</v>
      </c>
      <c r="G6">
        <v>30</v>
      </c>
      <c r="H6" t="s">
        <v>87</v>
      </c>
      <c r="I6" t="s">
        <v>89</v>
      </c>
    </row>
    <row r="7" spans="1:9" x14ac:dyDescent="0.25">
      <c r="A7" t="s">
        <v>84</v>
      </c>
      <c r="B7" s="2">
        <v>46032</v>
      </c>
      <c r="C7" t="s">
        <v>9</v>
      </c>
      <c r="D7" t="s">
        <v>56</v>
      </c>
      <c r="E7" t="str">
        <f>VLOOKUP(tblpurchase[Item Code],tblitem[[#All],[Item Code]:[Item Name]],2,0)</f>
        <v>Notebook A5</v>
      </c>
      <c r="F7" t="str">
        <f>VLOOKUP(tblpurchase[Item Code],tblitem[[#All],[Item Code]:[Category]],3,0)</f>
        <v>Stationery</v>
      </c>
      <c r="G7">
        <v>40</v>
      </c>
      <c r="H7" t="s">
        <v>88</v>
      </c>
      <c r="I7" t="s">
        <v>91</v>
      </c>
    </row>
  </sheetData>
  <mergeCells count="1">
    <mergeCell ref="A1:I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'Department Master'!$B$2:$B$8</xm:f>
          </x14:formula1>
          <xm:sqref>C2:C7</xm:sqref>
        </x14:dataValidation>
        <x14:dataValidation type="list" allowBlank="1" showInputMessage="1" showErrorMessage="1">
          <x14:formula1>
            <xm:f>'Item Master'!$A$2:$A$11</xm:f>
          </x14:formula1>
          <xm:sqref>D3:D7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"/>
  <sheetViews>
    <sheetView zoomScale="90" zoomScaleNormal="90" workbookViewId="0">
      <selection activeCell="K15" sqref="K15"/>
    </sheetView>
  </sheetViews>
  <sheetFormatPr defaultRowHeight="15" x14ac:dyDescent="0.25"/>
  <cols>
    <col min="1" max="1" width="11.140625" bestFit="1" customWidth="1"/>
    <col min="2" max="2" width="12.7109375" bestFit="1" customWidth="1"/>
    <col min="3" max="3" width="10.85546875" bestFit="1" customWidth="1"/>
    <col min="4" max="4" width="18.140625" bestFit="1" customWidth="1"/>
    <col min="5" max="5" width="18.85546875" bestFit="1" customWidth="1"/>
    <col min="6" max="6" width="14.7109375" bestFit="1" customWidth="1"/>
    <col min="7" max="7" width="15.42578125" bestFit="1" customWidth="1"/>
    <col min="8" max="8" width="15.42578125" customWidth="1"/>
    <col min="9" max="9" width="16.5703125" bestFit="1" customWidth="1"/>
    <col min="10" max="10" width="14.42578125" bestFit="1" customWidth="1"/>
    <col min="11" max="11" width="13.28515625" bestFit="1" customWidth="1"/>
    <col min="12" max="12" width="11" bestFit="1" customWidth="1"/>
    <col min="13" max="13" width="19.42578125" bestFit="1" customWidth="1"/>
  </cols>
  <sheetData>
    <row r="2" spans="1:13" x14ac:dyDescent="0.25">
      <c r="A2" s="1" t="s">
        <v>92</v>
      </c>
      <c r="B2" s="1" t="s">
        <v>93</v>
      </c>
      <c r="C2" s="1" t="s">
        <v>74</v>
      </c>
      <c r="D2" s="1" t="s">
        <v>16</v>
      </c>
      <c r="E2" s="1" t="s">
        <v>17</v>
      </c>
      <c r="F2" s="1" t="s">
        <v>47</v>
      </c>
      <c r="G2" s="1" t="s">
        <v>48</v>
      </c>
      <c r="H2" s="1" t="s">
        <v>18</v>
      </c>
      <c r="I2" s="1" t="s">
        <v>94</v>
      </c>
      <c r="J2" s="1" t="s">
        <v>95</v>
      </c>
      <c r="K2" s="1" t="s">
        <v>96</v>
      </c>
      <c r="L2" s="1" t="s">
        <v>79</v>
      </c>
      <c r="M2" s="1" t="s">
        <v>103</v>
      </c>
    </row>
    <row r="3" spans="1:13" x14ac:dyDescent="0.25">
      <c r="A3" t="s">
        <v>97</v>
      </c>
      <c r="B3" s="2">
        <v>46026</v>
      </c>
      <c r="C3" t="s">
        <v>80</v>
      </c>
      <c r="D3" t="s">
        <v>20</v>
      </c>
      <c r="E3" t="str">
        <f>VLOOKUP(tblpurchaseorder[Supplier Code],tblsuplier[[#All],[Supplier Code]:[Supplier Name]],2,0)</f>
        <v>PT Kertas Indonesia</v>
      </c>
      <c r="F3" t="str">
        <f>VLOOKUP(tblpurchaseorder[PR No],tblpurchase[[#All],[PR No]:[Item Code]],4,0)</f>
        <v>IT001</v>
      </c>
      <c r="G3" t="str">
        <f>VLOOKUP(tblpurchaseorder[PR No],tblpurchase[[#All],[PR No]:[Item Name]],5,0)</f>
        <v>A4 Paper</v>
      </c>
      <c r="H3" t="str">
        <f>VLOOKUP(tblpurchaseorder[[#This Row],[Item Code]],tblitem[[#All],[Item Code]:[Category]],3,0)</f>
        <v>Stationery</v>
      </c>
      <c r="I3">
        <v>20</v>
      </c>
      <c r="J3" s="3">
        <v>58000</v>
      </c>
      <c r="K3" s="3">
        <f>tblpurchaseorder[Qty Ordered]*tblpurchaseorder[Unit Price]</f>
        <v>1160000</v>
      </c>
      <c r="L3" t="s">
        <v>100</v>
      </c>
      <c r="M3" t="str">
        <f>VLOOKUP(tblpurchaseorder[[#This Row],[PR No]],tblpurchase[#All],9,0)</f>
        <v>Approved</v>
      </c>
    </row>
    <row r="4" spans="1:13" x14ac:dyDescent="0.25">
      <c r="A4" t="s">
        <v>98</v>
      </c>
      <c r="B4" s="2">
        <v>46028</v>
      </c>
      <c r="C4" t="s">
        <v>82</v>
      </c>
      <c r="D4" t="s">
        <v>28</v>
      </c>
      <c r="E4" t="str">
        <f>VLOOKUP(tblpurchaseorder[Supplier Code],tblsuplier[[#All],[Supplier Code]:[Supplier Name]],2,0)</f>
        <v>PT Tech Indonesia</v>
      </c>
      <c r="F4" t="str">
        <f>VLOOKUP(tblpurchaseorder[PR No],tblpurchase[[#All],[PR No]:[Item Code]],4,0)</f>
        <v>IT006</v>
      </c>
      <c r="G4" t="str">
        <f>VLOOKUP(tblpurchaseorder[PR No],tblpurchase[[#All],[PR No]:[Item Name]],5,0)</f>
        <v>Mouse Wireless</v>
      </c>
      <c r="H4" t="str">
        <f>VLOOKUP(tblpurchaseorder[[#This Row],[Item Code]],tblitem[[#All],[Item Code]:[Category]],3,0)</f>
        <v>Computer Accessories</v>
      </c>
      <c r="I4">
        <v>5</v>
      </c>
      <c r="J4" s="3">
        <v>135000</v>
      </c>
      <c r="K4" s="3">
        <f>tblpurchaseorder[Qty Ordered]*tblpurchaseorder[Unit Price]</f>
        <v>675000</v>
      </c>
      <c r="L4" t="s">
        <v>101</v>
      </c>
      <c r="M4" t="str">
        <f>VLOOKUP(tblpurchaseorder[[#This Row],[PR No]],tblpurchase[#All],9,0)</f>
        <v>Approved</v>
      </c>
    </row>
    <row r="5" spans="1:13" x14ac:dyDescent="0.25">
      <c r="A5" t="s">
        <v>99</v>
      </c>
      <c r="B5" s="2">
        <v>46031</v>
      </c>
      <c r="C5" t="s">
        <v>83</v>
      </c>
      <c r="D5" t="s">
        <v>36</v>
      </c>
      <c r="E5" t="str">
        <f>VLOOKUP(tblpurchaseorder[Supplier Code],tblsuplier[[#All],[Supplier Code]:[Supplier Name]],2,0)</f>
        <v>PT Clean Indo</v>
      </c>
      <c r="F5" t="str">
        <f>VLOOKUP(tblpurchaseorder[PR No],tblpurchase[[#All],[PR No]:[Item Code]],4,0)</f>
        <v>IT009</v>
      </c>
      <c r="G5" t="str">
        <f>VLOOKUP(tblpurchaseorder[PR No],tblpurchase[[#All],[PR No]:[Item Name]],5,0)</f>
        <v>Tissue</v>
      </c>
      <c r="H5" t="str">
        <f>VLOOKUP(tblpurchaseorder[[#This Row],[Item Code]],tblitem[[#All],[Item Code]:[Category]],3,0)</f>
        <v>Cleaning Supplies</v>
      </c>
      <c r="I5">
        <v>30</v>
      </c>
      <c r="J5" s="3">
        <v>12000</v>
      </c>
      <c r="K5" s="3">
        <f>tblpurchaseorder[Qty Ordered]*tblpurchaseorder[Unit Price]</f>
        <v>360000</v>
      </c>
      <c r="L5" t="s">
        <v>102</v>
      </c>
      <c r="M5" t="str">
        <f>VLOOKUP(tblpurchaseorder[[#This Row],[PR No]],tblpurchase[#All],9,0)</f>
        <v>Approved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'Supplier Master'!$A$2:$A$6</xm:f>
          </x14:formula1>
          <xm:sqref>D3:D5</xm:sqref>
        </x14:dataValidation>
        <x14:dataValidation type="list" allowBlank="1" showInputMessage="1" showErrorMessage="1">
          <x14:formula1>
            <xm:f>'Purchase Requisition'!$A$3:$A$7</xm:f>
          </x14:formula1>
          <xm:sqref>C3:C5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sqref="A1:XFD1"/>
    </sheetView>
  </sheetViews>
  <sheetFormatPr defaultRowHeight="15" x14ac:dyDescent="0.25"/>
  <cols>
    <col min="1" max="1" width="11.140625" bestFit="1" customWidth="1"/>
    <col min="2" max="2" width="12.7109375" bestFit="1" customWidth="1"/>
    <col min="3" max="3" width="11.140625" bestFit="1" customWidth="1"/>
    <col min="4" max="4" width="13" bestFit="1" customWidth="1"/>
    <col min="5" max="5" width="14.7109375" bestFit="1" customWidth="1"/>
    <col min="6" max="6" width="15.42578125" bestFit="1" customWidth="1"/>
    <col min="7" max="7" width="16.5703125" bestFit="1" customWidth="1"/>
    <col min="8" max="8" width="17.28515625" bestFit="1" customWidth="1"/>
    <col min="9" max="9" width="20.140625" bestFit="1" customWidth="1"/>
    <col min="10" max="10" width="11" bestFit="1" customWidth="1"/>
  </cols>
  <sheetData>
    <row r="1" spans="1:13" ht="23.25" x14ac:dyDescent="0.25">
      <c r="A1" s="33" t="s">
        <v>167</v>
      </c>
      <c r="B1" s="33"/>
      <c r="C1" s="33"/>
      <c r="D1" s="33"/>
      <c r="E1" s="33"/>
      <c r="F1" s="33"/>
      <c r="G1" s="33"/>
      <c r="H1" s="33"/>
      <c r="I1" s="33"/>
      <c r="J1" s="33"/>
      <c r="K1" s="21"/>
      <c r="L1" s="21"/>
      <c r="M1" s="21"/>
    </row>
    <row r="2" spans="1:13" x14ac:dyDescent="0.25">
      <c r="A2" s="1" t="s">
        <v>104</v>
      </c>
      <c r="B2" s="1" t="s">
        <v>105</v>
      </c>
      <c r="C2" s="1" t="s">
        <v>92</v>
      </c>
      <c r="D2" s="1" t="s">
        <v>106</v>
      </c>
      <c r="E2" s="1" t="s">
        <v>47</v>
      </c>
      <c r="F2" s="1" t="s">
        <v>48</v>
      </c>
      <c r="G2" s="1" t="s">
        <v>94</v>
      </c>
      <c r="H2" s="1" t="s">
        <v>107</v>
      </c>
      <c r="I2" s="1" t="s">
        <v>108</v>
      </c>
      <c r="J2" s="1" t="s">
        <v>79</v>
      </c>
    </row>
    <row r="3" spans="1:13" x14ac:dyDescent="0.25">
      <c r="A3" t="s">
        <v>109</v>
      </c>
      <c r="B3" s="2">
        <v>46030</v>
      </c>
      <c r="C3" t="s">
        <v>97</v>
      </c>
      <c r="D3" t="str">
        <f>VLOOKUP(tblgoodpurchase[PO No],tblpurchaseorder[[#All],[PO No]:[Supplier Name]],5,0)</f>
        <v>PT Kertas Indonesia</v>
      </c>
      <c r="E3" t="str">
        <f>VLOOKUP(tblgoodpurchase[PO No],tblpurchaseorder[[#All],[PO No]:[Item Code]],6,0)</f>
        <v>IT001</v>
      </c>
      <c r="F3" t="str">
        <f>VLOOKUP(tblgoodpurchase[PO No],tblpurchaseorder[[#All],[PO No]:[Item Name]],7,0)</f>
        <v>A4 Paper</v>
      </c>
      <c r="G3">
        <f>VLOOKUP(tblgoodpurchase[PO No],tblpurchaseorder[[#All],[PO No]:[Qty Ordered]],9,0)</f>
        <v>20</v>
      </c>
      <c r="H3">
        <v>20</v>
      </c>
      <c r="I3">
        <f>tblgoodpurchase[Qty Ordered]-tblgoodpurchase[Qty Received]</f>
        <v>0</v>
      </c>
      <c r="J3" t="str">
        <f>IF(tblgoodpurchase[Outstanding Qty]=0,"Complete","Partial")</f>
        <v>Complete</v>
      </c>
    </row>
    <row r="4" spans="1:13" x14ac:dyDescent="0.25">
      <c r="A4" t="s">
        <v>110</v>
      </c>
      <c r="B4" s="2">
        <v>46032</v>
      </c>
      <c r="C4" t="s">
        <v>98</v>
      </c>
      <c r="D4" t="str">
        <f>VLOOKUP(tblgoodpurchase[PO No],tblpurchaseorder[[#All],[PO No]:[Supplier Name]],5,0)</f>
        <v>PT Tech Indonesia</v>
      </c>
      <c r="E4" t="str">
        <f>VLOOKUP(tblgoodpurchase[PO No],tblpurchaseorder[[#All],[PO No]:[Item Code]],6,0)</f>
        <v>IT006</v>
      </c>
      <c r="F4" t="str">
        <f>VLOOKUP(tblgoodpurchase[PO No],tblpurchaseorder[[#All],[PO No]:[Item Name]],7,0)</f>
        <v>Mouse Wireless</v>
      </c>
      <c r="G4">
        <f>VLOOKUP(tblgoodpurchase[PO No],tblpurchaseorder[[#All],[PO No]:[Qty Ordered]],9,0)</f>
        <v>5</v>
      </c>
      <c r="H4">
        <v>5</v>
      </c>
      <c r="I4">
        <f>tblgoodpurchase[Qty Ordered]-tblgoodpurchase[Qty Received]</f>
        <v>0</v>
      </c>
      <c r="J4" t="str">
        <f>IF(tblgoodpurchase[Outstanding Qty]=0,"Complete","Partial")</f>
        <v>Complete</v>
      </c>
    </row>
    <row r="5" spans="1:13" x14ac:dyDescent="0.25">
      <c r="A5" t="s">
        <v>111</v>
      </c>
      <c r="B5" s="2">
        <v>46034</v>
      </c>
      <c r="C5" t="s">
        <v>99</v>
      </c>
      <c r="D5" t="str">
        <f>VLOOKUP(tblgoodpurchase[PO No],tblpurchaseorder[[#All],[PO No]:[Supplier Name]],5,0)</f>
        <v>PT Clean Indo</v>
      </c>
      <c r="E5" t="str">
        <f>VLOOKUP(tblgoodpurchase[PO No],tblpurchaseorder[[#All],[PO No]:[Item Code]],6,0)</f>
        <v>IT009</v>
      </c>
      <c r="F5" t="str">
        <f>VLOOKUP(tblgoodpurchase[PO No],tblpurchaseorder[[#All],[PO No]:[Item Name]],7,0)</f>
        <v>Tissue</v>
      </c>
      <c r="G5">
        <f>VLOOKUP(tblgoodpurchase[PO No],tblpurchaseorder[[#All],[PO No]:[Qty Ordered]],9,0)</f>
        <v>30</v>
      </c>
      <c r="H5">
        <v>20</v>
      </c>
      <c r="I5">
        <f>tblgoodpurchase[Qty Ordered]-tblgoodpurchase[Qty Received]</f>
        <v>10</v>
      </c>
      <c r="J5" t="str">
        <f>IF(tblgoodpurchase[Outstanding Qty]=0,"Complete","Partial")</f>
        <v>Partial</v>
      </c>
    </row>
  </sheetData>
  <mergeCells count="1">
    <mergeCell ref="A1:J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'Purchase Order'!$A$3:$A$5</xm:f>
          </x14:formula1>
          <xm:sqref>C3:C5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D8" sqref="D8"/>
    </sheetView>
  </sheetViews>
  <sheetFormatPr defaultRowHeight="15" x14ac:dyDescent="0.25"/>
  <cols>
    <col min="1" max="1" width="11.140625" bestFit="1" customWidth="1"/>
    <col min="2" max="2" width="12.7109375" bestFit="1" customWidth="1"/>
    <col min="3" max="3" width="18.5703125" bestFit="1" customWidth="1"/>
    <col min="4" max="4" width="20.85546875" bestFit="1" customWidth="1"/>
    <col min="5" max="5" width="13.7109375" bestFit="1" customWidth="1"/>
    <col min="6" max="6" width="20.85546875" bestFit="1" customWidth="1"/>
    <col min="7" max="7" width="17.28515625" bestFit="1" customWidth="1"/>
    <col min="8" max="8" width="20.140625" bestFit="1" customWidth="1"/>
    <col min="9" max="9" width="11" bestFit="1" customWidth="1"/>
  </cols>
  <sheetData>
    <row r="1" spans="1:13" ht="23.25" x14ac:dyDescent="0.25">
      <c r="A1" s="33" t="s">
        <v>168</v>
      </c>
      <c r="B1" s="33"/>
      <c r="C1" s="33"/>
      <c r="D1" s="33"/>
      <c r="E1" s="33"/>
      <c r="F1" s="33"/>
      <c r="G1" s="33"/>
      <c r="H1" s="33"/>
      <c r="I1" s="33"/>
      <c r="J1" s="21"/>
      <c r="K1" s="21"/>
      <c r="L1" s="21"/>
      <c r="M1" s="21"/>
    </row>
    <row r="2" spans="1:13" x14ac:dyDescent="0.25">
      <c r="A2" s="1" t="s">
        <v>92</v>
      </c>
      <c r="B2" s="1" t="s">
        <v>93</v>
      </c>
      <c r="C2" s="1" t="s">
        <v>106</v>
      </c>
      <c r="D2" s="1" t="s">
        <v>18</v>
      </c>
      <c r="E2" s="1" t="s">
        <v>112</v>
      </c>
      <c r="F2" s="1" t="s">
        <v>94</v>
      </c>
      <c r="G2" s="1" t="s">
        <v>107</v>
      </c>
      <c r="H2" s="1" t="s">
        <v>108</v>
      </c>
      <c r="I2" s="1" t="s">
        <v>79</v>
      </c>
    </row>
    <row r="3" spans="1:13" x14ac:dyDescent="0.25">
      <c r="A3" t="s">
        <v>97</v>
      </c>
      <c r="B3" s="7">
        <f>VLOOKUP(tblprocurement[[#This Row],[PO No]],tblpurchaseorder[[#All],[PO No]:[PO Date]],2,0)</f>
        <v>46026</v>
      </c>
      <c r="C3" t="str">
        <f>VLOOKUP(tblprocurement[[#This Row],[PO No]],tblpurchaseorder[[#All],[PO No]:[Supplier Name]],5,0)</f>
        <v>PT Kertas Indonesia</v>
      </c>
      <c r="D3" t="str">
        <f>VLOOKUP(tblprocurement[[#This Row],[PO No]],tblpurchaseorder[[#All],[PO No]:[Category]],8,0)</f>
        <v>Stationery</v>
      </c>
      <c r="E3" s="3">
        <f>VLOOKUP(tblprocurement[PO No],tblpurchaseorder[[#All],[PO No]:[Total]],10,0)</f>
        <v>58000</v>
      </c>
      <c r="F3">
        <f>VLOOKUP(tblprocurement[PO No],tblpurchaseorder[[#All],[PO No]:[Qty Ordered]],9,0)</f>
        <v>20</v>
      </c>
      <c r="G3">
        <f>SUMIFS(tblgoodpurchase[Qty Received],tblgoodpurchase[PO No],tblgoodpurchase[[#This Row],[PO No]])</f>
        <v>20</v>
      </c>
      <c r="H3">
        <f>tblprocurement[Qty Ordered]-tblprocurement[Qty Received]</f>
        <v>0</v>
      </c>
      <c r="I3" t="str">
        <f>IF(tblprocurement[Outstanding Qty]=0,"Completed","Pending")</f>
        <v>Completed</v>
      </c>
    </row>
    <row r="4" spans="1:13" x14ac:dyDescent="0.25">
      <c r="A4" t="s">
        <v>98</v>
      </c>
      <c r="B4" s="7">
        <f>VLOOKUP(tblprocurement[[#This Row],[PO No]],tblpurchaseorder[[#All],[PO No]:[PO Date]],2,0)</f>
        <v>46028</v>
      </c>
      <c r="C4" t="str">
        <f>VLOOKUP(tblprocurement[[#This Row],[PO No]],tblpurchaseorder[[#All],[PO No]:[Supplier Name]],5,0)</f>
        <v>PT Tech Indonesia</v>
      </c>
      <c r="D4" t="str">
        <f>VLOOKUP(tblprocurement[[#This Row],[PO No]],tblpurchaseorder[[#All],[PO No]:[Category]],8,0)</f>
        <v>Computer Accessories</v>
      </c>
      <c r="E4" s="3">
        <f>VLOOKUP(tblprocurement[PO No],tblpurchaseorder[[#All],[PO No]:[Total]],10,0)</f>
        <v>135000</v>
      </c>
      <c r="F4">
        <f>VLOOKUP(tblprocurement[PO No],tblpurchaseorder[[#All],[PO No]:[Qty Ordered]],9,0)</f>
        <v>5</v>
      </c>
      <c r="G4">
        <f>SUMIFS(tblgoodpurchase[Qty Received],tblgoodpurchase[PO No],tblgoodpurchase[[#This Row],[PO No]])</f>
        <v>5</v>
      </c>
      <c r="H4">
        <f>tblprocurement[Qty Ordered]-tblprocurement[Qty Received]</f>
        <v>0</v>
      </c>
      <c r="I4" t="str">
        <f>IF(tblprocurement[Outstanding Qty]=0,"Completed","Pending")</f>
        <v>Completed</v>
      </c>
    </row>
    <row r="5" spans="1:13" x14ac:dyDescent="0.25">
      <c r="A5" t="s">
        <v>99</v>
      </c>
      <c r="B5" s="7">
        <f>VLOOKUP(tblprocurement[[#This Row],[PO No]],tblpurchaseorder[[#All],[PO No]:[PO Date]],2,0)</f>
        <v>46031</v>
      </c>
      <c r="C5" t="str">
        <f>VLOOKUP(tblprocurement[[#This Row],[PO No]],tblpurchaseorder[[#All],[PO No]:[Supplier Name]],5,0)</f>
        <v>PT Clean Indo</v>
      </c>
      <c r="D5" t="str">
        <f>VLOOKUP(tblprocurement[[#This Row],[PO No]],tblpurchaseorder[[#All],[PO No]:[Category]],8,0)</f>
        <v>Cleaning Supplies</v>
      </c>
      <c r="E5" s="3">
        <f>VLOOKUP(tblprocurement[PO No],tblpurchaseorder[[#All],[PO No]:[Total]],10,0)</f>
        <v>12000</v>
      </c>
      <c r="F5">
        <f>VLOOKUP(tblprocurement[PO No],tblpurchaseorder[[#All],[PO No]:[Qty Ordered]],9,0)</f>
        <v>30</v>
      </c>
      <c r="G5">
        <f>SUMIFS(tblgoodpurchase[Qty Received],tblgoodpurchase[PO No],tblgoodpurchase[[#This Row],[PO No]])</f>
        <v>20</v>
      </c>
      <c r="H5">
        <f>tblprocurement[Qty Ordered]-tblprocurement[Qty Received]</f>
        <v>10</v>
      </c>
      <c r="I5" t="str">
        <f>IF(tblprocurement[Outstanding Qty]=0,"Completed","Pending")</f>
        <v>Pending</v>
      </c>
    </row>
  </sheetData>
  <mergeCells count="1">
    <mergeCell ref="A1:I1"/>
  </mergeCells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'Purchase Order'!$A$3:$A$5</xm:f>
          </x14:formula1>
          <xm:sqref>A3:A5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M4" sqref="M4"/>
    </sheetView>
  </sheetViews>
  <sheetFormatPr defaultRowHeight="15" x14ac:dyDescent="0.25"/>
  <cols>
    <col min="1" max="1" width="20.85546875" bestFit="1" customWidth="1"/>
    <col min="2" max="2" width="15.85546875" customWidth="1"/>
  </cols>
  <sheetData>
    <row r="1" spans="1:3" x14ac:dyDescent="0.25">
      <c r="A1" s="4" t="s">
        <v>113</v>
      </c>
      <c r="B1" t="s">
        <v>115</v>
      </c>
      <c r="C1" t="s">
        <v>133</v>
      </c>
    </row>
    <row r="2" spans="1:3" x14ac:dyDescent="0.25">
      <c r="A2" s="5" t="s">
        <v>37</v>
      </c>
      <c r="B2" s="6">
        <v>12000</v>
      </c>
    </row>
    <row r="3" spans="1:3" x14ac:dyDescent="0.25">
      <c r="A3" s="5" t="s">
        <v>21</v>
      </c>
      <c r="B3" s="6">
        <v>58000</v>
      </c>
    </row>
    <row r="4" spans="1:3" x14ac:dyDescent="0.25">
      <c r="A4" s="5" t="s">
        <v>29</v>
      </c>
      <c r="B4" s="6">
        <v>135000</v>
      </c>
    </row>
    <row r="5" spans="1:3" x14ac:dyDescent="0.25">
      <c r="A5" s="5" t="s">
        <v>114</v>
      </c>
      <c r="B5" s="6">
        <v>205000</v>
      </c>
    </row>
    <row r="7" spans="1:3" x14ac:dyDescent="0.25">
      <c r="A7" s="4" t="s">
        <v>113</v>
      </c>
      <c r="B7" t="s">
        <v>115</v>
      </c>
      <c r="C7" t="s">
        <v>134</v>
      </c>
    </row>
    <row r="8" spans="1:3" x14ac:dyDescent="0.25">
      <c r="A8" s="5" t="s">
        <v>38</v>
      </c>
      <c r="B8" s="6">
        <v>12000</v>
      </c>
    </row>
    <row r="9" spans="1:3" x14ac:dyDescent="0.25">
      <c r="A9" s="5" t="s">
        <v>30</v>
      </c>
      <c r="B9" s="6">
        <v>135000</v>
      </c>
    </row>
    <row r="10" spans="1:3" x14ac:dyDescent="0.25">
      <c r="A10" s="5" t="s">
        <v>22</v>
      </c>
      <c r="B10" s="6">
        <v>58000</v>
      </c>
    </row>
    <row r="11" spans="1:3" x14ac:dyDescent="0.25">
      <c r="A11" s="5" t="s">
        <v>114</v>
      </c>
      <c r="B11" s="6">
        <v>205000</v>
      </c>
    </row>
    <row r="13" spans="1:3" x14ac:dyDescent="0.25">
      <c r="A13" s="4" t="s">
        <v>113</v>
      </c>
      <c r="B13" t="s">
        <v>117</v>
      </c>
      <c r="C13" t="s">
        <v>135</v>
      </c>
    </row>
    <row r="14" spans="1:3" x14ac:dyDescent="0.25">
      <c r="A14" s="5" t="s">
        <v>116</v>
      </c>
      <c r="B14" s="6">
        <v>2</v>
      </c>
    </row>
    <row r="15" spans="1:3" x14ac:dyDescent="0.25">
      <c r="A15" s="5" t="s">
        <v>90</v>
      </c>
      <c r="B15" s="6">
        <v>1</v>
      </c>
    </row>
    <row r="16" spans="1:3" x14ac:dyDescent="0.25">
      <c r="A16" s="5" t="s">
        <v>114</v>
      </c>
      <c r="B16" s="6">
        <v>3</v>
      </c>
    </row>
    <row r="18" spans="1:3" x14ac:dyDescent="0.25">
      <c r="A18" s="4" t="s">
        <v>113</v>
      </c>
      <c r="B18" t="s">
        <v>115</v>
      </c>
      <c r="C18" t="s">
        <v>136</v>
      </c>
    </row>
    <row r="19" spans="1:3" x14ac:dyDescent="0.25">
      <c r="A19" s="8">
        <v>46026</v>
      </c>
      <c r="B19" s="6">
        <v>58000</v>
      </c>
    </row>
    <row r="20" spans="1:3" x14ac:dyDescent="0.25">
      <c r="A20" s="8">
        <v>46028</v>
      </c>
      <c r="B20" s="6">
        <v>135000</v>
      </c>
    </row>
    <row r="21" spans="1:3" x14ac:dyDescent="0.25">
      <c r="A21" s="8">
        <v>46031</v>
      </c>
      <c r="B21" s="6">
        <v>12000</v>
      </c>
    </row>
    <row r="22" spans="1:3" x14ac:dyDescent="0.25">
      <c r="A22" s="8" t="s">
        <v>114</v>
      </c>
      <c r="B22" s="6">
        <v>205000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Dashboard</vt:lpstr>
      <vt:lpstr>Department Master</vt:lpstr>
      <vt:lpstr>Supplier Master</vt:lpstr>
      <vt:lpstr>Category Master</vt:lpstr>
      <vt:lpstr>Item Master</vt:lpstr>
      <vt:lpstr>Purchase Requisition</vt:lpstr>
      <vt:lpstr>Purchase Order</vt:lpstr>
      <vt:lpstr>Goods Receipt</vt:lpstr>
      <vt:lpstr>Procurement Report</vt:lpstr>
      <vt:lpstr>Summary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Wahyuni</dc:creator>
  <cp:lastModifiedBy>Sri Wahyuni</cp:lastModifiedBy>
  <dcterms:created xsi:type="dcterms:W3CDTF">2026-07-08T02:55:48Z</dcterms:created>
  <dcterms:modified xsi:type="dcterms:W3CDTF">2026-07-09T08:06:00Z</dcterms:modified>
</cp:coreProperties>
</file>