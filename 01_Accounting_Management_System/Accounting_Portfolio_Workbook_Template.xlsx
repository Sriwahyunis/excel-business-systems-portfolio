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19815" windowHeight="9150"/>
  </bookViews>
  <sheets>
    <sheet name="Dashboard" sheetId="18" r:id="rId1"/>
    <sheet name="Read Me" sheetId="20" r:id="rId2"/>
    <sheet name="Dashboard_data" sheetId="19" r:id="rId3"/>
    <sheet name="Opening Balance" sheetId="16" r:id="rId4"/>
    <sheet name="COA" sheetId="2" r:id="rId5"/>
    <sheet name="Customers" sheetId="3" r:id="rId6"/>
    <sheet name="Suppliers" sheetId="4" r:id="rId7"/>
    <sheet name="Inventory" sheetId="5" r:id="rId8"/>
    <sheet name="Sales" sheetId="6" r:id="rId9"/>
    <sheet name="Purchases" sheetId="7" r:id="rId10"/>
    <sheet name="Cash Receipt" sheetId="8" r:id="rId11"/>
    <sheet name="Cash Payment" sheetId="9" r:id="rId12"/>
    <sheet name="General Journal" sheetId="10" r:id="rId13"/>
    <sheet name="General Ledger" sheetId="11" r:id="rId14"/>
    <sheet name="Trial Balance" sheetId="12" r:id="rId15"/>
    <sheet name="Income Statement" sheetId="13" r:id="rId16"/>
    <sheet name="Balance Sheet" sheetId="14" r:id="rId17"/>
  </sheets>
  <definedNames>
    <definedName name="Account">COA_List</definedName>
    <definedName name="Customer_List">Customers!$A$1:$C$5</definedName>
    <definedName name="Customer_Name">Customers_List</definedName>
    <definedName name="SKU">SKU_List</definedName>
    <definedName name="Supplier_Name">Supplier_List</definedName>
  </definedNames>
  <calcPr calcId="144525"/>
</workbook>
</file>

<file path=xl/calcChain.xml><?xml version="1.0" encoding="utf-8"?>
<calcChain xmlns="http://schemas.openxmlformats.org/spreadsheetml/2006/main">
  <c r="H6" i="7" l="1"/>
  <c r="I6" i="7" s="1"/>
  <c r="H5" i="7"/>
  <c r="I5" i="7" s="1"/>
  <c r="F6" i="7"/>
  <c r="F5" i="7"/>
  <c r="H6" i="6"/>
  <c r="H7" i="6"/>
  <c r="H5" i="6"/>
  <c r="I5" i="6" s="1"/>
  <c r="F6" i="6"/>
  <c r="F7" i="6"/>
  <c r="F5" i="6"/>
  <c r="B6" i="19"/>
  <c r="B5" i="19"/>
  <c r="B4" i="19"/>
  <c r="E27" i="18"/>
  <c r="E26" i="18"/>
  <c r="E25" i="18"/>
  <c r="G14" i="13"/>
  <c r="G7" i="13"/>
  <c r="G28" i="14"/>
  <c r="G22" i="14"/>
  <c r="G14" i="14"/>
  <c r="G9" i="14"/>
  <c r="G16" i="14" s="1"/>
  <c r="G15" i="12"/>
  <c r="E15" i="12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7" i="11"/>
  <c r="G6" i="11"/>
  <c r="G8" i="11"/>
  <c r="G9" i="11" s="1"/>
  <c r="G5" i="11"/>
  <c r="I7" i="6"/>
  <c r="I6" i="6"/>
  <c r="G19" i="13" l="1"/>
  <c r="G20" i="13" s="1"/>
  <c r="B7" i="19" s="1"/>
  <c r="G18" i="13"/>
</calcChain>
</file>

<file path=xl/sharedStrings.xml><?xml version="1.0" encoding="utf-8"?>
<sst xmlns="http://schemas.openxmlformats.org/spreadsheetml/2006/main" count="472" uniqueCount="234">
  <si>
    <t>PT Nusantara Office Supplies</t>
  </si>
  <si>
    <t>Revenue</t>
  </si>
  <si>
    <t>Expenses</t>
  </si>
  <si>
    <t>Cash</t>
  </si>
  <si>
    <t>Inventory</t>
  </si>
  <si>
    <t>Code</t>
  </si>
  <si>
    <t>Account</t>
  </si>
  <si>
    <t>102</t>
  </si>
  <si>
    <t>Bank</t>
  </si>
  <si>
    <t>103</t>
  </si>
  <si>
    <t>Accounts Receivable</t>
  </si>
  <si>
    <t>201</t>
  </si>
  <si>
    <t>Accounts Payable</t>
  </si>
  <si>
    <t>Capital</t>
  </si>
  <si>
    <t>401</t>
  </si>
  <si>
    <t>Sales</t>
  </si>
  <si>
    <t>501</t>
  </si>
  <si>
    <t>Salary Expense</t>
  </si>
  <si>
    <t>Customer ID</t>
  </si>
  <si>
    <t>Customer Name</t>
  </si>
  <si>
    <t>Phone</t>
  </si>
  <si>
    <t>Supplier ID</t>
  </si>
  <si>
    <t>Supplier Name</t>
  </si>
  <si>
    <t>SKU</t>
  </si>
  <si>
    <t>Item</t>
  </si>
  <si>
    <t>Cost</t>
  </si>
  <si>
    <t>Selling Price</t>
  </si>
  <si>
    <t>Stock</t>
  </si>
  <si>
    <t>Invoice</t>
  </si>
  <si>
    <t>Date</t>
  </si>
  <si>
    <t>Customer</t>
  </si>
  <si>
    <t>Qty</t>
  </si>
  <si>
    <t>Price</t>
  </si>
  <si>
    <t>Total</t>
  </si>
  <si>
    <t>PO</t>
  </si>
  <si>
    <t>Supplier</t>
  </si>
  <si>
    <t>Reference</t>
  </si>
  <si>
    <t>Description</t>
  </si>
  <si>
    <t>Amount</t>
  </si>
  <si>
    <t>Debit</t>
  </si>
  <si>
    <t>Credit</t>
  </si>
  <si>
    <t>Balance</t>
  </si>
  <si>
    <t>4010</t>
  </si>
  <si>
    <t>Sales Return</t>
  </si>
  <si>
    <t>5010</t>
  </si>
  <si>
    <t>Rent Expense</t>
  </si>
  <si>
    <t>5020</t>
  </si>
  <si>
    <t>Electricity Expense</t>
  </si>
  <si>
    <t>PT Maju Bersama</t>
  </si>
  <si>
    <t>CV Sentosa</t>
  </si>
  <si>
    <t>PT Sejahtera</t>
  </si>
  <si>
    <t>CUS001</t>
  </si>
  <si>
    <t>CUS002</t>
  </si>
  <si>
    <t>CUS003</t>
  </si>
  <si>
    <t>PT Sumber Jaya</t>
  </si>
  <si>
    <t>SUP001</t>
  </si>
  <si>
    <t>SUP002</t>
  </si>
  <si>
    <t>PT Kertas Indonesia</t>
  </si>
  <si>
    <t>P001</t>
  </si>
  <si>
    <t>A4 Paper</t>
  </si>
  <si>
    <t>P002</t>
  </si>
  <si>
    <t>Ballpoint Pen</t>
  </si>
  <si>
    <t>0812xxxxx</t>
  </si>
  <si>
    <t>0857xxxx</t>
  </si>
  <si>
    <t>0888xxx</t>
  </si>
  <si>
    <t>021-2xxxx</t>
  </si>
  <si>
    <t>021-5xxx</t>
  </si>
  <si>
    <t>CUS004</t>
  </si>
  <si>
    <t>CV Prima Stationery</t>
  </si>
  <si>
    <t>087xxxx</t>
  </si>
  <si>
    <t>SUP003</t>
  </si>
  <si>
    <t>PT Pena Nusantara</t>
  </si>
  <si>
    <t>021-9xxxx</t>
  </si>
  <si>
    <t>Stepler</t>
  </si>
  <si>
    <t>Notebook A5</t>
  </si>
  <si>
    <t>Whiteboard Marker</t>
  </si>
  <si>
    <t>P003</t>
  </si>
  <si>
    <t>P004</t>
  </si>
  <si>
    <t>P005</t>
  </si>
  <si>
    <t>Payment from PT Maju Bersama</t>
  </si>
  <si>
    <t>Electricity Bill</t>
  </si>
  <si>
    <t>Sales Revenue</t>
  </si>
  <si>
    <t>Purchases PT Kertas Indonesia</t>
  </si>
  <si>
    <t>Walk-In Customer</t>
  </si>
  <si>
    <t>Account Receivable</t>
  </si>
  <si>
    <t>Sales from PT Maju Bersama</t>
  </si>
  <si>
    <t>cash</t>
  </si>
  <si>
    <t>Buy Printer</t>
  </si>
  <si>
    <t>Office Equipment</t>
  </si>
  <si>
    <t>Receipt No.</t>
  </si>
  <si>
    <t>Payment Method</t>
  </si>
  <si>
    <t>Bank Transfer</t>
  </si>
  <si>
    <t>Payment No.</t>
  </si>
  <si>
    <t>Payee</t>
  </si>
  <si>
    <t>Account Payable</t>
  </si>
  <si>
    <t>PAY2601001</t>
  </si>
  <si>
    <t>PO2601002</t>
  </si>
  <si>
    <t>PAY2601002</t>
  </si>
  <si>
    <t>PLN</t>
  </si>
  <si>
    <t>EXP2601001</t>
  </si>
  <si>
    <t>PAY2601003</t>
  </si>
  <si>
    <t>PAY2601004</t>
  </si>
  <si>
    <t>PAY2601005</t>
  </si>
  <si>
    <t>Internet Provider</t>
  </si>
  <si>
    <t>EXP2601002</t>
  </si>
  <si>
    <t>Intenet Expense</t>
  </si>
  <si>
    <t>PT Office Equipment</t>
  </si>
  <si>
    <t>FA2601001</t>
  </si>
  <si>
    <t>Fixed Asset Purchase</t>
  </si>
  <si>
    <t>Employes</t>
  </si>
  <si>
    <t>PAYROLL2601001</t>
  </si>
  <si>
    <t>PO2601001</t>
  </si>
  <si>
    <t>INV2601001</t>
  </si>
  <si>
    <t>INV2601002</t>
  </si>
  <si>
    <t>INV2601003</t>
  </si>
  <si>
    <t>RCPT2601001</t>
  </si>
  <si>
    <t>RCPT2601002</t>
  </si>
  <si>
    <t>RCPT2601003</t>
  </si>
  <si>
    <t>Reference Invoice</t>
  </si>
  <si>
    <t xml:space="preserve"> PT Maju Bersama</t>
  </si>
  <si>
    <t>Purchases PT Pena Nusantara</t>
  </si>
  <si>
    <t>Internet Expense</t>
  </si>
  <si>
    <t>Account Code</t>
  </si>
  <si>
    <t>Account Name</t>
  </si>
  <si>
    <t>Owner's Capital</t>
  </si>
  <si>
    <t>1010</t>
  </si>
  <si>
    <t>1040</t>
  </si>
  <si>
    <t>1510</t>
  </si>
  <si>
    <t>Office Euipment</t>
  </si>
  <si>
    <t>3010</t>
  </si>
  <si>
    <t>OB2026001</t>
  </si>
  <si>
    <t>Payment Type</t>
  </si>
  <si>
    <t>Opening Balance</t>
  </si>
  <si>
    <t>Purchase Inventory</t>
  </si>
  <si>
    <t>Cash Sales</t>
  </si>
  <si>
    <t>Collection of A/R</t>
  </si>
  <si>
    <t>Purchase Printer</t>
  </si>
  <si>
    <t>Salary Payment</t>
  </si>
  <si>
    <t>Owner's capital</t>
  </si>
  <si>
    <t>Internet Bill</t>
  </si>
  <si>
    <t>Salary January</t>
  </si>
  <si>
    <t>Trial Balance</t>
  </si>
  <si>
    <t>As of 12 January 2026</t>
  </si>
  <si>
    <t>-</t>
  </si>
  <si>
    <t>Amount (Rp)</t>
  </si>
  <si>
    <t>Total Revenue</t>
  </si>
  <si>
    <t>Income Statement</t>
  </si>
  <si>
    <t>For the Period Ended 12 January 2026</t>
  </si>
  <si>
    <t>Operating Expenses</t>
  </si>
  <si>
    <t>Expense</t>
  </si>
  <si>
    <t>Total Operating Expenses</t>
  </si>
  <si>
    <t>Net Income (Loss)</t>
  </si>
  <si>
    <t>Less: Total Operating Expenses</t>
  </si>
  <si>
    <t>Net Loss</t>
  </si>
  <si>
    <t>Balance Sheet</t>
  </si>
  <si>
    <t>Assets</t>
  </si>
  <si>
    <t>Current Assets</t>
  </si>
  <si>
    <t>Total Current Assets</t>
  </si>
  <si>
    <t>Non-Current Assets</t>
  </si>
  <si>
    <t>Total Non-Current Assets</t>
  </si>
  <si>
    <t>Total Assets</t>
  </si>
  <si>
    <t>Liabilities</t>
  </si>
  <si>
    <t>Current Liabilities</t>
  </si>
  <si>
    <t>Total Liabilities</t>
  </si>
  <si>
    <t>Equity</t>
  </si>
  <si>
    <t>Current Period Net Loss</t>
  </si>
  <si>
    <t>Total Equity</t>
  </si>
  <si>
    <t>A</t>
  </si>
  <si>
    <t>B</t>
  </si>
  <si>
    <t>Total Sales</t>
  </si>
  <si>
    <t>Category</t>
  </si>
  <si>
    <t>Asset</t>
  </si>
  <si>
    <t>Ref</t>
  </si>
  <si>
    <t>INV2501003</t>
  </si>
  <si>
    <t>PAYROLL2501001</t>
  </si>
  <si>
    <t>Salary</t>
  </si>
  <si>
    <t>FA2501001</t>
  </si>
  <si>
    <t>Printer</t>
  </si>
  <si>
    <t>RCPT2501002</t>
  </si>
  <si>
    <t>Receive Payment</t>
  </si>
  <si>
    <t>PAY2501003</t>
  </si>
  <si>
    <t>Internet</t>
  </si>
  <si>
    <t>Recent Transaction</t>
  </si>
  <si>
    <t>Accounting Management Dashboard</t>
  </si>
  <si>
    <t>Period: January 2026</t>
  </si>
  <si>
    <t>Profit</t>
  </si>
  <si>
    <t>Financial Summary</t>
  </si>
  <si>
    <t>Total Asset</t>
  </si>
  <si>
    <t>Prepared By</t>
  </si>
  <si>
    <t>Accounting Portfolio</t>
  </si>
  <si>
    <t>Microsoft Excel</t>
  </si>
  <si>
    <t>Sri Wahyuni</t>
  </si>
  <si>
    <t>Project Information</t>
  </si>
  <si>
    <t>Company</t>
  </si>
  <si>
    <t>Period</t>
  </si>
  <si>
    <t>Accounting Basis</t>
  </si>
  <si>
    <t>Accrual Basis</t>
  </si>
  <si>
    <t>Currency</t>
  </si>
  <si>
    <t>Indonesian Rupiah (IDR)</t>
  </si>
  <si>
    <t>Software</t>
  </si>
  <si>
    <t>No. Account</t>
  </si>
  <si>
    <t>Purchase</t>
  </si>
  <si>
    <t>Cash Receipt</t>
  </si>
  <si>
    <t>Cash Payment</t>
  </si>
  <si>
    <t>General Journal</t>
  </si>
  <si>
    <t>Periode: Jan 1 - Jan 12, 2026</t>
  </si>
  <si>
    <t>General Ledger</t>
  </si>
  <si>
    <t>Accounting Management System</t>
  </si>
  <si>
    <t>Prepared by</t>
  </si>
  <si>
    <t>Objective</t>
  </si>
  <si>
    <t>This project demonstrates a complete accounting cycle using Microsoft Excel.</t>
  </si>
  <si>
    <t>Features</t>
  </si>
  <si>
    <t>✅ Chart of Accounts</t>
  </si>
  <si>
    <t>✅ Opening Balance</t>
  </si>
  <si>
    <t>✅ Customers</t>
  </si>
  <si>
    <t>✅ Suppliers</t>
  </si>
  <si>
    <t>✅ Inventory</t>
  </si>
  <si>
    <t>✅ Sales</t>
  </si>
  <si>
    <t>✅ Purchases</t>
  </si>
  <si>
    <t>✅ Cash Receipt</t>
  </si>
  <si>
    <t>✅ Cash Payment</t>
  </si>
  <si>
    <t>✅ General Journal</t>
  </si>
  <si>
    <t>✅ General Ledger</t>
  </si>
  <si>
    <t>✅ Trial Balance</t>
  </si>
  <si>
    <t>✅ Income Statement</t>
  </si>
  <si>
    <t>✅ Balance Sheet</t>
  </si>
  <si>
    <t>✅ Dashboard</t>
  </si>
  <si>
    <t>Excel Skills Used</t>
  </si>
  <si>
    <t>VLOOKUP</t>
  </si>
  <si>
    <t>Data Validation</t>
  </si>
  <si>
    <t>Conditional Formatting</t>
  </si>
  <si>
    <t>Charts</t>
  </si>
  <si>
    <t>Financial Reporting</t>
  </si>
  <si>
    <t xml:space="preserve"> SUMIFS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</si>
</sst>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-[$Rp-421]* #,##0_-;\-[$Rp-421]* #,##0_-;_-[$Rp-421]* &quot;-&quot;_-;_-@_-"/>
  </numFmts>
  <fonts count="1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4">
    <xf numFmtId="0" fontId="0" fillId="0" borderId="0" xfId="0"/>
    <xf numFmtId="0" fontId="1" fillId="0" borderId="0" xfId="0" applyFont="1"/>
    <xf numFmtId="0" fontId="0" fillId="0" borderId="0" xfId="0" quotePrefix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0" fillId="0" borderId="0" xfId="1" applyFont="1"/>
    <xf numFmtId="164" fontId="0" fillId="0" borderId="0" xfId="1" applyNumberFormat="1" applyFont="1"/>
    <xf numFmtId="14" fontId="0" fillId="0" borderId="0" xfId="0" applyNumberFormat="1"/>
    <xf numFmtId="0" fontId="7" fillId="0" borderId="0" xfId="0" applyFont="1"/>
    <xf numFmtId="164" fontId="7" fillId="0" borderId="0" xfId="1" applyNumberFormat="1" applyFont="1"/>
    <xf numFmtId="0" fontId="5" fillId="0" borderId="0" xfId="0" applyFont="1"/>
    <xf numFmtId="14" fontId="0" fillId="0" borderId="0" xfId="0" applyNumberForma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64" fontId="7" fillId="0" borderId="0" xfId="1" applyNumberFormat="1" applyFont="1" applyAlignment="1">
      <alignment horizontal="center"/>
    </xf>
    <xf numFmtId="164" fontId="0" fillId="0" borderId="0" xfId="0" applyNumberFormat="1"/>
    <xf numFmtId="0" fontId="0" fillId="0" borderId="0" xfId="0" applyBorder="1"/>
    <xf numFmtId="0" fontId="1" fillId="0" borderId="0" xfId="0" applyFont="1" applyBorder="1"/>
    <xf numFmtId="0" fontId="0" fillId="0" borderId="0" xfId="0" applyBorder="1" applyAlignment="1">
      <alignment horizontal="left"/>
    </xf>
    <xf numFmtId="164" fontId="0" fillId="0" borderId="0" xfId="1" applyNumberFormat="1" applyFont="1" applyBorder="1"/>
    <xf numFmtId="164" fontId="5" fillId="0" borderId="0" xfId="1" applyNumberFormat="1" applyFont="1"/>
    <xf numFmtId="164" fontId="5" fillId="0" borderId="0" xfId="0" applyNumberFormat="1" applyFont="1"/>
    <xf numFmtId="16" fontId="0" fillId="0" borderId="0" xfId="0" applyNumberForma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5" fontId="0" fillId="0" borderId="0" xfId="1" applyNumberFormat="1" applyFont="1"/>
    <xf numFmtId="165" fontId="4" fillId="0" borderId="0" xfId="1" applyNumberFormat="1" applyFont="1"/>
    <xf numFmtId="165" fontId="0" fillId="0" borderId="3" xfId="1" applyNumberFormat="1" applyFont="1" applyBorder="1"/>
    <xf numFmtId="165" fontId="0" fillId="0" borderId="7" xfId="1" applyNumberFormat="1" applyFont="1" applyBorder="1"/>
    <xf numFmtId="0" fontId="10" fillId="0" borderId="0" xfId="0" applyFont="1" applyAlignment="1"/>
    <xf numFmtId="0" fontId="14" fillId="0" borderId="0" xfId="0" applyFont="1" applyFill="1" applyAlignment="1">
      <alignment horizontal="center" vertical="center"/>
    </xf>
    <xf numFmtId="0" fontId="0" fillId="0" borderId="0" xfId="0" applyFill="1"/>
    <xf numFmtId="0" fontId="15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0" fillId="0" borderId="0" xfId="0" applyFont="1"/>
    <xf numFmtId="0" fontId="17" fillId="0" borderId="0" xfId="0" applyFont="1" applyFill="1" applyAlignment="1">
      <alignment horizontal="center" vertical="center"/>
    </xf>
    <xf numFmtId="0" fontId="0" fillId="0" borderId="1" xfId="0" applyFill="1" applyBorder="1"/>
    <xf numFmtId="17" fontId="0" fillId="0" borderId="1" xfId="0" applyNumberFormat="1" applyBorder="1" applyAlignment="1">
      <alignment horizontal="left"/>
    </xf>
    <xf numFmtId="0" fontId="1" fillId="0" borderId="0" xfId="0" applyFont="1" applyFill="1" applyBorder="1"/>
    <xf numFmtId="0" fontId="15" fillId="3" borderId="0" xfId="0" applyFont="1" applyFill="1" applyBorder="1" applyAlignment="1"/>
    <xf numFmtId="0" fontId="15" fillId="3" borderId="0" xfId="0" applyFont="1" applyFill="1" applyBorder="1" applyAlignment="1">
      <alignment horizontal="center"/>
    </xf>
    <xf numFmtId="0" fontId="11" fillId="0" borderId="0" xfId="0" applyFont="1" applyFill="1" applyBorder="1" applyAlignment="1"/>
    <xf numFmtId="0" fontId="15" fillId="0" borderId="0" xfId="0" applyFont="1" applyFill="1" applyBorder="1" applyAlignment="1"/>
    <xf numFmtId="164" fontId="7" fillId="0" borderId="0" xfId="1" applyNumberFormat="1" applyFont="1" applyAlignment="1">
      <alignment horizontal="left"/>
    </xf>
    <xf numFmtId="0" fontId="7" fillId="0" borderId="0" xfId="0" applyFont="1" applyAlignment="1">
      <alignment horizontal="left" wrapText="1"/>
    </xf>
    <xf numFmtId="0" fontId="0" fillId="0" borderId="0" xfId="0" applyAlignment="1">
      <alignment horizontal="left" vertical="center" wrapText="1"/>
    </xf>
    <xf numFmtId="0" fontId="9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left" vertical="center"/>
    </xf>
    <xf numFmtId="0" fontId="18" fillId="2" borderId="8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165" fontId="2" fillId="0" borderId="3" xfId="1" applyNumberFormat="1" applyFont="1" applyFill="1" applyBorder="1" applyAlignment="1">
      <alignment horizontal="center" vertical="center"/>
    </xf>
    <xf numFmtId="165" fontId="2" fillId="0" borderId="8" xfId="1" applyNumberFormat="1" applyFont="1" applyFill="1" applyBorder="1" applyAlignment="1">
      <alignment horizontal="center" vertical="center"/>
    </xf>
    <xf numFmtId="165" fontId="2" fillId="0" borderId="2" xfId="1" applyNumberFormat="1" applyFont="1" applyFill="1" applyBorder="1" applyAlignment="1">
      <alignment horizontal="center" vertical="center"/>
    </xf>
    <xf numFmtId="165" fontId="6" fillId="4" borderId="0" xfId="1" applyNumberFormat="1" applyFont="1" applyFill="1" applyAlignment="1">
      <alignment horizontal="center"/>
    </xf>
    <xf numFmtId="165" fontId="6" fillId="5" borderId="0" xfId="1" applyNumberFormat="1" applyFont="1" applyFill="1" applyAlignment="1">
      <alignment horizontal="center"/>
    </xf>
    <xf numFmtId="165" fontId="6" fillId="6" borderId="0" xfId="0" applyNumberFormat="1" applyFont="1" applyFill="1" applyAlignment="1">
      <alignment horizontal="center" vertical="center"/>
    </xf>
    <xf numFmtId="165" fontId="0" fillId="7" borderId="0" xfId="0" applyNumberFormat="1" applyFont="1" applyFill="1" applyAlignment="1">
      <alignment horizontal="center" vertical="center"/>
    </xf>
    <xf numFmtId="0" fontId="11" fillId="3" borderId="0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center"/>
    </xf>
    <xf numFmtId="17" fontId="14" fillId="3" borderId="0" xfId="0" applyNumberFormat="1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16" fillId="3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alignment horizontal="left" vertical="bottom" textRotation="0" wrapText="0" indent="0" justifyLastLine="0" shrinkToFit="0" readingOrder="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p-421]* #,##0_-;\-[$Rp-421]* #,##0_-;_-[$Rp-421]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p-421]* #,##0_-;\-[$Rp-421]* #,##0_-;_-[$Rp-421]* &quot;-&quot;_-;_-@_-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p-421]* #,##0_-;\-[$Rp-421]* #,##0_-;_-[$Rp-421]* &quot;-&quot;_-;_-@_-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p-421]* #,##0_-;\-[$Rp-421]* #,##0_-;_-[$Rp-421]* &quot;-&quot;_-;_-@_-"/>
    </dxf>
    <dxf>
      <numFmt numFmtId="21" formatCode="d\-mmm"/>
      <alignment horizontal="left" vertical="bottom" textRotation="0" wrapText="0" indent="0" justifyLastLine="0" shrinkToFit="0" readingOrder="0"/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+mn-lt"/>
              </a:defRPr>
            </a:pPr>
            <a:r>
              <a:rPr lang="en-US">
                <a:latin typeface="+mn-lt"/>
              </a:rPr>
              <a:t>Sales Vs Expenses Chart</a:t>
            </a:r>
          </a:p>
          <a:p>
            <a:pPr>
              <a:defRPr>
                <a:latin typeface="+mn-lt"/>
              </a:defRPr>
            </a:pPr>
            <a:endParaRPr lang="en-US"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Dashboard_data!$E$3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Dashboard_data!$D$4:$D$5</c:f>
              <c:strCache>
                <c:ptCount val="2"/>
                <c:pt idx="0">
                  <c:v>Sales</c:v>
                </c:pt>
                <c:pt idx="1">
                  <c:v>Expenses</c:v>
                </c:pt>
              </c:strCache>
            </c:strRef>
          </c:cat>
          <c:val>
            <c:numRef>
              <c:f>Dashboard_data!$E$4:$E$5</c:f>
              <c:numCache>
                <c:formatCode>_-[$Rp-421]* #,##0_-;\-[$Rp-421]* #,##0_-;_-[$Rp-421]* "-"_-;_-@_-</c:formatCode>
                <c:ptCount val="2"/>
                <c:pt idx="0">
                  <c:v>3560000</c:v>
                </c:pt>
                <c:pt idx="1">
                  <c:v>7400000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321472"/>
        <c:axId val="218202112"/>
      </c:barChart>
      <c:catAx>
        <c:axId val="209321472"/>
        <c:scaling>
          <c:orientation val="minMax"/>
        </c:scaling>
        <c:delete val="0"/>
        <c:axPos val="b"/>
        <c:majorTickMark val="out"/>
        <c:minorTickMark val="none"/>
        <c:tickLblPos val="nextTo"/>
        <c:crossAx val="218202112"/>
        <c:crosses val="autoZero"/>
        <c:auto val="1"/>
        <c:lblAlgn val="ctr"/>
        <c:lblOffset val="100"/>
        <c:noMultiLvlLbl val="0"/>
      </c:catAx>
      <c:valAx>
        <c:axId val="218202112"/>
        <c:scaling>
          <c:orientation val="minMax"/>
        </c:scaling>
        <c:delete val="0"/>
        <c:axPos val="l"/>
        <c:majorGridlines/>
        <c:numFmt formatCode="_-[$Rp-421]* #,##0_-;\-[$Rp-421]* #,##0_-;_-[$Rp-421]* &quot;-&quot;_-;_-@_-" sourceLinked="1"/>
        <c:majorTickMark val="out"/>
        <c:minorTickMark val="none"/>
        <c:tickLblPos val="nextTo"/>
        <c:crossAx val="209321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Asset Composition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Dashboard_data!$B$12</c:f>
              <c:strCache>
                <c:ptCount val="1"/>
                <c:pt idx="0">
                  <c:v>Amount</c:v>
                </c:pt>
              </c:strCache>
            </c:strRef>
          </c:tx>
          <c:dLbls>
            <c:dLbl>
              <c:idx val="0"/>
              <c:spPr/>
              <c:txPr>
                <a:bodyPr/>
                <a:lstStyle/>
                <a:p>
                  <a:pPr>
                    <a:defRPr sz="80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/>
              <c:txPr>
                <a:bodyPr/>
                <a:lstStyle/>
                <a:p>
                  <a:pPr>
                    <a:defRPr sz="80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/>
              <c:txPr>
                <a:bodyPr/>
                <a:lstStyle/>
                <a:p>
                  <a:pPr>
                    <a:defRPr sz="80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Dashboard_data!$A$13:$A$15</c:f>
              <c:strCache>
                <c:ptCount val="3"/>
                <c:pt idx="0">
                  <c:v>Cash</c:v>
                </c:pt>
                <c:pt idx="1">
                  <c:v>Inventory</c:v>
                </c:pt>
                <c:pt idx="2">
                  <c:v>Office Equipment</c:v>
                </c:pt>
              </c:strCache>
            </c:strRef>
          </c:cat>
          <c:val>
            <c:numRef>
              <c:f>Dashboard_data!$B$13:$B$15</c:f>
              <c:numCache>
                <c:formatCode>_-[$Rp-421]* #,##0_-;\-[$Rp-421]* #,##0_-;_-[$Rp-421]* "-"_-;_-@_-</c:formatCode>
                <c:ptCount val="3"/>
                <c:pt idx="0">
                  <c:v>66460000</c:v>
                </c:pt>
                <c:pt idx="1">
                  <c:v>36400000</c:v>
                </c:pt>
                <c:pt idx="2">
                  <c:v>18800000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8</xdr:row>
      <xdr:rowOff>114298</xdr:rowOff>
    </xdr:from>
    <xdr:to>
      <xdr:col>3</xdr:col>
      <xdr:colOff>828675</xdr:colOff>
      <xdr:row>21</xdr:row>
      <xdr:rowOff>257175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95250</xdr:colOff>
      <xdr:row>8</xdr:row>
      <xdr:rowOff>142874</xdr:rowOff>
    </xdr:from>
    <xdr:to>
      <xdr:col>8</xdr:col>
      <xdr:colOff>9525</xdr:colOff>
      <xdr:row>21</xdr:row>
      <xdr:rowOff>228600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59:D64" totalsRowShown="0">
  <autoFilter ref="A59:D64"/>
  <tableColumns count="4">
    <tableColumn id="1" name="Date" dataDxfId="50"/>
    <tableColumn id="2" name="Ref"/>
    <tableColumn id="3" name="Description"/>
    <tableColumn id="4" name="Amount" dataDxfId="49" dataCellStyle="Comm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B7" totalsRowShown="0" headerRowDxfId="48">
  <autoFilter ref="A3:B7"/>
  <tableColumns count="2">
    <tableColumn id="1" name="A"/>
    <tableColumn id="2" name="B" dataDxfId="47" dataCellStyle="Comma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D3:E5" totalsRowShown="0" headerRowDxfId="46" headerRowBorderDxfId="45" tableBorderDxfId="44" totalsRowBorderDxfId="43">
  <autoFilter ref="D3:E5"/>
  <tableColumns count="2">
    <tableColumn id="1" name="Category" dataDxfId="42"/>
    <tableColumn id="2" name="Amount" dataDxfId="41" dataCellStyle="Comma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2:B15" totalsRowShown="0">
  <autoFilter ref="A12:B15"/>
  <tableColumns count="2">
    <tableColumn id="1" name="Asset"/>
    <tableColumn id="2" name="Amount" dataDxfId="40" dataCellStyle="Comm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14" name="Table14" displayName="Table14" ref="A1:E5" totalsRowShown="0" headerRowDxfId="39">
  <autoFilter ref="A1:E5"/>
  <tableColumns count="5">
    <tableColumn id="1" name="Date" dataDxfId="38"/>
    <tableColumn id="2" name="Account Code" dataDxfId="37"/>
    <tableColumn id="3" name="Account Name"/>
    <tableColumn id="4" name="Debit" dataDxfId="36" dataCellStyle="Comma"/>
    <tableColumn id="5" name="Credit" dataDxfId="35" dataCellStyle="Comma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id="11" name="Table11" displayName="Table11" ref="A1:C5" totalsRowShown="0" headerRowDxfId="34">
  <autoFilter ref="A1:C5"/>
  <tableColumns count="3">
    <tableColumn id="1" name="Customer ID"/>
    <tableColumn id="2" name="Customer Name"/>
    <tableColumn id="3" name="Phone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id="12" name="Table12" displayName="Table12" ref="A1:C4" totalsRowShown="0" headerRowDxfId="33">
  <autoFilter ref="A1:C4"/>
  <tableColumns count="3">
    <tableColumn id="1" name="Supplier ID"/>
    <tableColumn id="2" name="Supplier Name"/>
    <tableColumn id="3" name="Phone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id="13" name="Table13" displayName="Table13" ref="A1:E6" totalsRowShown="0" headerRowDxfId="31" dataDxfId="30" dataCellStyle="Comma">
  <autoFilter ref="A1:E6"/>
  <tableColumns count="5">
    <tableColumn id="1" name="SKU"/>
    <tableColumn id="2" name="Item"/>
    <tableColumn id="3" name="Cost" dataDxfId="29" dataCellStyle="Comma"/>
    <tableColumn id="4" name="Selling Price" dataDxfId="28" dataCellStyle="Comma"/>
    <tableColumn id="5" name="Stock" dataDxfId="27" dataCellStyle="Comma"/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id="5" name="Table5" displayName="Table5" ref="A4:I7" totalsRowShown="0" headerRowDxfId="26">
  <autoFilter ref="A4:I7"/>
  <tableColumns count="9">
    <tableColumn id="1" name="Invoice"/>
    <tableColumn id="2" name="Date" dataDxfId="25"/>
    <tableColumn id="3" name="Customer"/>
    <tableColumn id="4" name="Payment Type"/>
    <tableColumn id="5" name="SKU"/>
    <tableColumn id="6" name="Item">
      <calculatedColumnFormula>VLOOKUP(E5,Inventory!A1:B6,2,FALSE)</calculatedColumnFormula>
    </tableColumn>
    <tableColumn id="7" name="Qty"/>
    <tableColumn id="8" name="Price" dataDxfId="24" dataCellStyle="Comma">
      <calculatedColumnFormula>VLOOKUP(E5,Inventory!A1:D6,4,0)</calculatedColumnFormula>
    </tableColumn>
    <tableColumn id="9" name="Total" dataDxfId="23" dataCellStyle="Comma">
      <calculatedColumnFormula>G5*H5</calculatedColumnFormula>
    </tableColumn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id="6" name="Table6" displayName="Table6" ref="A4:I6" totalsRowShown="0" headerRowDxfId="22" dataDxfId="21" dataCellStyle="Comma">
  <autoFilter ref="A4:I6"/>
  <tableColumns count="9">
    <tableColumn id="1" name="PO"/>
    <tableColumn id="2" name="Date" dataDxfId="20"/>
    <tableColumn id="3" name="Supplier"/>
    <tableColumn id="4" name="Payment Type"/>
    <tableColumn id="5" name="SKU"/>
    <tableColumn id="6" name="Item">
      <calculatedColumnFormula>VLOOKUP(E5,Inventory!A1:B6,2,0)</calculatedColumnFormula>
    </tableColumn>
    <tableColumn id="7" name="Qty" dataDxfId="19" dataCellStyle="Comma"/>
    <tableColumn id="8" name="Cost" dataDxfId="18" dataCellStyle="Comma">
      <calculatedColumnFormula>VLOOKUP(E5,Inventory!A1:C6,3,0)</calculatedColumnFormula>
    </tableColumn>
    <tableColumn id="9" name="Total" dataDxfId="17" dataCellStyle="Comma">
      <calculatedColumnFormula>H5*G5</calculatedColumnFormula>
    </tableColumn>
  </tableColumns>
  <tableStyleInfo name="TableStyleMedium16" showFirstColumn="0" showLastColumn="0" showRowStripes="1" showColumnStripes="0"/>
</table>
</file>

<file path=xl/tables/table11.xml><?xml version="1.0" encoding="utf-8"?>
<table xmlns="http://schemas.openxmlformats.org/spreadsheetml/2006/main" id="7" name="Table7" displayName="Table7" ref="B4:G7" totalsRowShown="0" headerRowDxfId="16">
  <autoFilter ref="B4:G7"/>
  <tableColumns count="6">
    <tableColumn id="1" name="Date" dataDxfId="15"/>
    <tableColumn id="2" name="Reference"/>
    <tableColumn id="3" name="Customer"/>
    <tableColumn id="4" name="Reference Invoice"/>
    <tableColumn id="5" name="Payment Method"/>
    <tableColumn id="6" name="Amount" dataDxfId="14" dataCellStyle="Comma"/>
  </tableColumns>
  <tableStyleInfo name="TableStyleMedium16" showFirstColumn="0" showLastColumn="0" showRowStripes="1" showColumnStripes="0"/>
</table>
</file>

<file path=xl/tables/table12.xml><?xml version="1.0" encoding="utf-8"?>
<table xmlns="http://schemas.openxmlformats.org/spreadsheetml/2006/main" id="8" name="Table8" displayName="Table8" ref="A4:G9" totalsRowShown="0" headerRowDxfId="13">
  <autoFilter ref="A4:G9"/>
  <tableColumns count="7">
    <tableColumn id="1" name="Payment No."/>
    <tableColumn id="2" name="Date" dataDxfId="12"/>
    <tableColumn id="3" name="Payee" dataDxfId="11"/>
    <tableColumn id="4" name="Reference"/>
    <tableColumn id="5" name="Description"/>
    <tableColumn id="6" name="Payment Method"/>
    <tableColumn id="7" name="Amount" dataDxfId="10" dataCellStyle="Comma"/>
  </tableColumns>
  <tableStyleInfo name="TableStyleMedium16" showFirstColumn="0" showLastColumn="0" showRowStripes="1" showColumnStripes="0"/>
</table>
</file>

<file path=xl/tables/table13.xml><?xml version="1.0" encoding="utf-8"?>
<table xmlns="http://schemas.openxmlformats.org/spreadsheetml/2006/main" id="9" name="Table9" displayName="Table9" ref="A4:F28" totalsRowShown="0" headerRowDxfId="9">
  <autoFilter ref="A4:F28"/>
  <tableColumns count="6">
    <tableColumn id="1" name="Date" dataDxfId="8"/>
    <tableColumn id="2" name="Reference" dataDxfId="7"/>
    <tableColumn id="3" name="Account"/>
    <tableColumn id="4" name="Debit" dataDxfId="6" dataCellStyle="Comma"/>
    <tableColumn id="5" name="Credit" dataDxfId="5" dataCellStyle="Comma"/>
    <tableColumn id="6" name="Description" dataDxfId="4"/>
  </tableColumns>
  <tableStyleInfo name="TableStyleMedium16" showFirstColumn="0" showLastColumn="0" showRowStripes="1" showColumnStripes="0"/>
</table>
</file>

<file path=xl/tables/table14.xml><?xml version="1.0" encoding="utf-8"?>
<table xmlns="http://schemas.openxmlformats.org/spreadsheetml/2006/main" id="10" name="Table10" displayName="Table10" ref="A4:G28" totalsRowShown="0" headerRowDxfId="3">
  <autoFilter ref="A4:G28"/>
  <tableColumns count="7">
    <tableColumn id="1" name="Date" dataDxfId="2"/>
    <tableColumn id="2" name="Reference"/>
    <tableColumn id="3" name="Account"/>
    <tableColumn id="4" name="Description"/>
    <tableColumn id="5" name="Debit" dataDxfId="1" dataCellStyle="Comma"/>
    <tableColumn id="6" name="Credit"/>
    <tableColumn id="7" name="Balance" dataDxfId="0" dataCellStyle="Comm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showGridLines="0" tabSelected="1" workbookViewId="0">
      <selection activeCell="K14" sqref="K14"/>
    </sheetView>
  </sheetViews>
  <sheetFormatPr defaultRowHeight="15" x14ac:dyDescent="0.25"/>
  <cols>
    <col min="1" max="1" width="19.7109375" customWidth="1"/>
    <col min="2" max="2" width="15.85546875" bestFit="1" customWidth="1"/>
    <col min="3" max="3" width="18" customWidth="1"/>
    <col min="4" max="4" width="12.85546875" bestFit="1" customWidth="1"/>
    <col min="5" max="5" width="13.7109375" customWidth="1"/>
    <col min="11" max="11" width="18.5703125" bestFit="1" customWidth="1"/>
    <col min="12" max="12" width="27" bestFit="1" customWidth="1"/>
  </cols>
  <sheetData>
    <row r="1" spans="1:12" ht="23.25" x14ac:dyDescent="0.35">
      <c r="A1" s="58" t="s">
        <v>0</v>
      </c>
      <c r="B1" s="58"/>
      <c r="C1" s="58"/>
      <c r="D1" s="58"/>
      <c r="E1" s="58"/>
      <c r="F1" s="58"/>
      <c r="G1" s="58"/>
      <c r="H1" s="58"/>
      <c r="I1" s="36"/>
      <c r="K1" s="63" t="s">
        <v>192</v>
      </c>
      <c r="L1" s="64"/>
    </row>
    <row r="2" spans="1:12" ht="21" x14ac:dyDescent="0.35">
      <c r="A2" s="59" t="s">
        <v>183</v>
      </c>
      <c r="B2" s="59"/>
      <c r="C2" s="59"/>
      <c r="D2" s="59"/>
      <c r="E2" s="59"/>
      <c r="F2" s="59"/>
      <c r="G2" s="59"/>
      <c r="H2" s="59"/>
      <c r="I2" s="36"/>
      <c r="K2" s="27" t="s">
        <v>193</v>
      </c>
      <c r="L2" s="27" t="s">
        <v>0</v>
      </c>
    </row>
    <row r="3" spans="1:12" x14ac:dyDescent="0.25">
      <c r="A3" s="60" t="s">
        <v>184</v>
      </c>
      <c r="B3" s="60"/>
      <c r="C3" s="60"/>
      <c r="D3" s="60"/>
      <c r="E3" s="60"/>
      <c r="F3" s="60"/>
      <c r="G3" s="60"/>
      <c r="H3" s="60"/>
      <c r="K3" s="27" t="s">
        <v>194</v>
      </c>
      <c r="L3" s="45">
        <v>46023</v>
      </c>
    </row>
    <row r="4" spans="1:12" s="38" customFormat="1" x14ac:dyDescent="0.25">
      <c r="A4" s="37"/>
      <c r="B4" s="37"/>
      <c r="C4" s="37"/>
      <c r="D4" s="37"/>
      <c r="E4" s="37"/>
      <c r="F4" s="37"/>
      <c r="G4" s="37"/>
      <c r="H4" s="37"/>
      <c r="K4" s="44" t="s">
        <v>195</v>
      </c>
      <c r="L4" s="44" t="s">
        <v>196</v>
      </c>
    </row>
    <row r="5" spans="1:12" x14ac:dyDescent="0.25">
      <c r="A5" s="61" t="s">
        <v>15</v>
      </c>
      <c r="B5" s="61"/>
      <c r="C5" s="61" t="s">
        <v>3</v>
      </c>
      <c r="D5" s="62"/>
      <c r="E5" s="61" t="s">
        <v>4</v>
      </c>
      <c r="F5" s="60"/>
      <c r="G5" s="61" t="s">
        <v>185</v>
      </c>
      <c r="H5" s="60"/>
      <c r="K5" s="27" t="s">
        <v>197</v>
      </c>
      <c r="L5" s="27" t="s">
        <v>198</v>
      </c>
    </row>
    <row r="6" spans="1:12" x14ac:dyDescent="0.25">
      <c r="A6" s="61"/>
      <c r="B6" s="61"/>
      <c r="C6" s="62"/>
      <c r="D6" s="62"/>
      <c r="E6" s="60"/>
      <c r="F6" s="60"/>
      <c r="G6" s="60"/>
      <c r="H6" s="60"/>
      <c r="K6" s="27" t="s">
        <v>199</v>
      </c>
      <c r="L6" s="27" t="s">
        <v>190</v>
      </c>
    </row>
    <row r="7" spans="1:12" x14ac:dyDescent="0.25">
      <c r="A7" s="61"/>
      <c r="B7" s="61"/>
      <c r="C7" s="62"/>
      <c r="D7" s="62"/>
      <c r="E7" s="60"/>
      <c r="F7" s="60"/>
      <c r="G7" s="60"/>
      <c r="H7" s="60"/>
    </row>
    <row r="8" spans="1:12" s="38" customFormat="1" ht="21" customHeight="1" x14ac:dyDescent="0.25">
      <c r="A8" s="71">
        <v>3560000</v>
      </c>
      <c r="B8" s="71"/>
      <c r="C8" s="72">
        <v>66460000</v>
      </c>
      <c r="D8" s="72"/>
      <c r="E8" s="73">
        <v>36400000</v>
      </c>
      <c r="F8" s="73"/>
      <c r="G8" s="74">
        <v>-3840000</v>
      </c>
      <c r="H8" s="74"/>
    </row>
    <row r="9" spans="1:12" s="38" customFormat="1" ht="21" x14ac:dyDescent="0.25">
      <c r="A9" s="39"/>
      <c r="B9" s="39"/>
      <c r="C9" s="40"/>
      <c r="D9" s="40"/>
      <c r="E9" s="37"/>
      <c r="F9" s="37"/>
      <c r="G9" s="37"/>
      <c r="H9" s="37"/>
    </row>
    <row r="10" spans="1:12" s="38" customFormat="1" ht="21" x14ac:dyDescent="0.25">
      <c r="A10" s="39"/>
      <c r="B10" s="39"/>
      <c r="C10" s="40"/>
      <c r="D10" s="40"/>
      <c r="E10" s="37"/>
      <c r="F10" s="37"/>
      <c r="G10" s="37"/>
      <c r="H10" s="37"/>
    </row>
    <row r="11" spans="1:12" s="38" customFormat="1" ht="21" x14ac:dyDescent="0.25">
      <c r="A11" s="39"/>
      <c r="B11" s="39"/>
      <c r="C11" s="40"/>
      <c r="D11" s="40"/>
      <c r="E11" s="37"/>
      <c r="F11" s="37"/>
      <c r="G11" s="37"/>
      <c r="H11" s="37"/>
    </row>
    <row r="12" spans="1:12" s="38" customFormat="1" ht="21" x14ac:dyDescent="0.25">
      <c r="A12" s="39"/>
      <c r="B12" s="39"/>
      <c r="C12" s="40"/>
      <c r="D12" s="40"/>
      <c r="E12" s="37"/>
      <c r="F12" s="37"/>
      <c r="G12" s="37"/>
      <c r="H12" s="37"/>
    </row>
    <row r="13" spans="1:12" s="38" customFormat="1" ht="21" x14ac:dyDescent="0.25">
      <c r="A13" s="39"/>
      <c r="B13" s="39"/>
      <c r="C13" s="40"/>
      <c r="D13" s="40"/>
      <c r="E13" s="37"/>
      <c r="F13" s="37"/>
      <c r="G13" s="37"/>
      <c r="H13" s="37"/>
    </row>
    <row r="14" spans="1:12" s="38" customFormat="1" ht="21" x14ac:dyDescent="0.25">
      <c r="A14" s="39"/>
      <c r="B14" s="39"/>
      <c r="C14" s="40"/>
      <c r="D14" s="40"/>
      <c r="E14" s="37"/>
      <c r="F14" s="37"/>
      <c r="G14" s="37"/>
      <c r="H14" s="37"/>
    </row>
    <row r="15" spans="1:12" s="38" customFormat="1" ht="21" x14ac:dyDescent="0.25">
      <c r="A15" s="39"/>
      <c r="B15" s="39"/>
      <c r="C15" s="40"/>
      <c r="D15" s="40"/>
      <c r="E15" s="37"/>
      <c r="F15" s="37"/>
      <c r="G15" s="37"/>
      <c r="H15" s="37"/>
    </row>
    <row r="16" spans="1:12" s="38" customFormat="1" ht="21" x14ac:dyDescent="0.25">
      <c r="A16" s="39"/>
      <c r="B16" s="39"/>
      <c r="C16" s="40"/>
      <c r="D16" s="40"/>
      <c r="E16" s="37"/>
      <c r="F16" s="37"/>
      <c r="G16" s="37"/>
      <c r="H16" s="37"/>
    </row>
    <row r="17" spans="1:8" s="38" customFormat="1" ht="21" x14ac:dyDescent="0.25">
      <c r="A17" s="39"/>
      <c r="B17" s="39"/>
      <c r="C17" s="40"/>
      <c r="D17" s="40"/>
      <c r="E17" s="37"/>
      <c r="F17" s="37"/>
      <c r="G17" s="37"/>
      <c r="H17" s="37"/>
    </row>
    <row r="18" spans="1:8" s="38" customFormat="1" ht="21" x14ac:dyDescent="0.25">
      <c r="A18" s="39"/>
      <c r="B18" s="39"/>
      <c r="C18" s="40"/>
      <c r="D18" s="40"/>
      <c r="E18" s="37"/>
      <c r="F18" s="37"/>
      <c r="G18" s="37"/>
      <c r="H18" s="37"/>
    </row>
    <row r="19" spans="1:8" s="38" customFormat="1" ht="21" x14ac:dyDescent="0.25">
      <c r="A19" s="39"/>
      <c r="B19" s="39"/>
      <c r="C19" s="40"/>
      <c r="D19" s="40"/>
      <c r="E19" s="37"/>
      <c r="F19" s="37"/>
      <c r="G19" s="37"/>
      <c r="H19" s="37"/>
    </row>
    <row r="20" spans="1:8" s="38" customFormat="1" ht="21" x14ac:dyDescent="0.25">
      <c r="A20" s="39"/>
      <c r="B20" s="39"/>
      <c r="C20" s="40"/>
      <c r="D20" s="40"/>
      <c r="E20" s="37"/>
      <c r="F20" s="37"/>
      <c r="G20" s="37"/>
      <c r="H20" s="37"/>
    </row>
    <row r="21" spans="1:8" s="38" customFormat="1" ht="21" x14ac:dyDescent="0.25">
      <c r="A21" s="39"/>
      <c r="B21" s="39"/>
      <c r="C21" s="40"/>
      <c r="D21" s="40"/>
      <c r="E21" s="37"/>
      <c r="F21" s="37"/>
      <c r="G21" s="37"/>
      <c r="H21" s="37"/>
    </row>
    <row r="22" spans="1:8" s="38" customFormat="1" ht="21" x14ac:dyDescent="0.25">
      <c r="A22" s="39"/>
      <c r="B22" s="39"/>
      <c r="C22" s="40"/>
      <c r="D22" s="40"/>
      <c r="E22" s="37"/>
      <c r="F22" s="37"/>
      <c r="G22" s="37"/>
      <c r="H22" s="37"/>
    </row>
    <row r="23" spans="1:8" s="38" customFormat="1" ht="21" x14ac:dyDescent="0.25">
      <c r="A23" s="39"/>
      <c r="B23" s="39"/>
      <c r="C23" s="40"/>
      <c r="D23" s="40"/>
      <c r="E23" s="37"/>
      <c r="F23" s="37"/>
      <c r="G23" s="37"/>
      <c r="H23" s="37"/>
    </row>
    <row r="24" spans="1:8" s="38" customFormat="1" ht="23.25" x14ac:dyDescent="0.25">
      <c r="A24" s="58" t="s">
        <v>186</v>
      </c>
      <c r="B24" s="58"/>
      <c r="C24" s="58"/>
      <c r="D24" s="58"/>
      <c r="E24" s="58"/>
      <c r="F24" s="58"/>
      <c r="G24" s="58"/>
      <c r="H24" s="58"/>
    </row>
    <row r="25" spans="1:8" s="38" customFormat="1" ht="21" customHeight="1" x14ac:dyDescent="0.25">
      <c r="A25" s="65" t="s">
        <v>187</v>
      </c>
      <c r="B25" s="66"/>
      <c r="C25" s="66"/>
      <c r="D25" s="67"/>
      <c r="E25" s="68">
        <f>'Balance Sheet'!G16</f>
        <v>121660000</v>
      </c>
      <c r="F25" s="69"/>
      <c r="G25" s="69"/>
      <c r="H25" s="70"/>
    </row>
    <row r="26" spans="1:8" s="38" customFormat="1" ht="21" customHeight="1" x14ac:dyDescent="0.25">
      <c r="A26" s="65" t="s">
        <v>163</v>
      </c>
      <c r="B26" s="66"/>
      <c r="C26" s="66"/>
      <c r="D26" s="67"/>
      <c r="E26" s="68">
        <f>'Balance Sheet'!G22</f>
        <v>5500000</v>
      </c>
      <c r="F26" s="69"/>
      <c r="G26" s="69"/>
      <c r="H26" s="70"/>
    </row>
    <row r="27" spans="1:8" s="38" customFormat="1" ht="21" customHeight="1" x14ac:dyDescent="0.25">
      <c r="A27" s="65" t="s">
        <v>166</v>
      </c>
      <c r="B27" s="66"/>
      <c r="C27" s="66"/>
      <c r="D27" s="67"/>
      <c r="E27" s="68">
        <f>'Balance Sheet'!G28</f>
        <v>116160000</v>
      </c>
      <c r="F27" s="69"/>
      <c r="G27" s="69"/>
      <c r="H27" s="70"/>
    </row>
    <row r="28" spans="1:8" s="38" customFormat="1" ht="21" x14ac:dyDescent="0.25">
      <c r="A28" s="39"/>
      <c r="B28" s="39"/>
      <c r="C28" s="40"/>
      <c r="D28" s="40"/>
      <c r="E28" s="37"/>
      <c r="F28" s="37"/>
      <c r="G28" s="37"/>
      <c r="H28" s="37"/>
    </row>
    <row r="29" spans="1:8" s="38" customFormat="1" ht="21" x14ac:dyDescent="0.25">
      <c r="A29" s="43" t="s">
        <v>188</v>
      </c>
      <c r="B29" s="39"/>
      <c r="C29" s="40"/>
      <c r="D29" s="40"/>
      <c r="E29" s="37"/>
      <c r="F29" s="37"/>
      <c r="G29" s="37"/>
      <c r="H29" s="37"/>
    </row>
    <row r="30" spans="1:8" s="38" customFormat="1" x14ac:dyDescent="0.25">
      <c r="A30" s="41" t="s">
        <v>191</v>
      </c>
      <c r="B30" s="37"/>
      <c r="C30" s="37"/>
      <c r="D30" s="37"/>
      <c r="E30" s="37"/>
      <c r="F30" s="37"/>
      <c r="G30" s="37"/>
      <c r="H30" s="37"/>
    </row>
    <row r="31" spans="1:8" x14ac:dyDescent="0.25">
      <c r="A31" s="42" t="s">
        <v>189</v>
      </c>
    </row>
    <row r="32" spans="1:8" x14ac:dyDescent="0.25">
      <c r="A32" s="6" t="s">
        <v>190</v>
      </c>
    </row>
    <row r="58" spans="1:4" ht="21" x14ac:dyDescent="0.35">
      <c r="A58" s="57" t="s">
        <v>182</v>
      </c>
      <c r="B58" s="57"/>
      <c r="C58" s="57"/>
      <c r="D58" s="57"/>
    </row>
    <row r="59" spans="1:4" x14ac:dyDescent="0.25">
      <c r="A59" t="s">
        <v>29</v>
      </c>
      <c r="B59" t="s">
        <v>172</v>
      </c>
      <c r="C59" t="s">
        <v>37</v>
      </c>
      <c r="D59" t="s">
        <v>38</v>
      </c>
    </row>
    <row r="60" spans="1:4" x14ac:dyDescent="0.25">
      <c r="A60" s="26">
        <v>46034</v>
      </c>
      <c r="B60" t="s">
        <v>173</v>
      </c>
      <c r="C60" t="s">
        <v>134</v>
      </c>
      <c r="D60" s="32">
        <v>210000</v>
      </c>
    </row>
    <row r="61" spans="1:4" x14ac:dyDescent="0.25">
      <c r="A61" s="26">
        <v>46033</v>
      </c>
      <c r="B61" t="s">
        <v>174</v>
      </c>
      <c r="C61" t="s">
        <v>175</v>
      </c>
      <c r="D61" s="32">
        <v>5500000</v>
      </c>
    </row>
    <row r="62" spans="1:4" x14ac:dyDescent="0.25">
      <c r="A62" s="26">
        <v>46032</v>
      </c>
      <c r="B62" t="s">
        <v>176</v>
      </c>
      <c r="C62" t="s">
        <v>177</v>
      </c>
      <c r="D62" s="32">
        <v>3800000</v>
      </c>
    </row>
    <row r="63" spans="1:4" x14ac:dyDescent="0.25">
      <c r="A63" s="26">
        <v>46031</v>
      </c>
      <c r="B63" t="s">
        <v>178</v>
      </c>
      <c r="C63" t="s">
        <v>179</v>
      </c>
      <c r="D63" s="32">
        <v>3000000</v>
      </c>
    </row>
    <row r="64" spans="1:4" x14ac:dyDescent="0.25">
      <c r="A64" s="26">
        <v>46030</v>
      </c>
      <c r="B64" t="s">
        <v>180</v>
      </c>
      <c r="C64" t="s">
        <v>181</v>
      </c>
      <c r="D64" s="32">
        <v>650000</v>
      </c>
    </row>
  </sheetData>
  <mergeCells count="20">
    <mergeCell ref="K1:L1"/>
    <mergeCell ref="A25:D25"/>
    <mergeCell ref="A26:D26"/>
    <mergeCell ref="A27:D27"/>
    <mergeCell ref="E25:H25"/>
    <mergeCell ref="E26:H26"/>
    <mergeCell ref="E27:H27"/>
    <mergeCell ref="G5:H7"/>
    <mergeCell ref="A8:B8"/>
    <mergeCell ref="C8:D8"/>
    <mergeCell ref="E8:F8"/>
    <mergeCell ref="G8:H8"/>
    <mergeCell ref="A24:H24"/>
    <mergeCell ref="A58:D58"/>
    <mergeCell ref="A1:H1"/>
    <mergeCell ref="A2:H2"/>
    <mergeCell ref="A3:H3"/>
    <mergeCell ref="A5:B7"/>
    <mergeCell ref="C5:D7"/>
    <mergeCell ref="E5:F7"/>
  </mergeCells>
  <conditionalFormatting sqref="G8:H8">
    <cfRule type="cellIs" dxfId="52" priority="2" operator="lessThan">
      <formula>0</formula>
    </cfRule>
  </conditionalFormatting>
  <conditionalFormatting sqref="C8:D8">
    <cfRule type="cellIs" dxfId="51" priority="1" operator="less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showGridLines="0" topLeftCell="A25" workbookViewId="0">
      <selection activeCell="E32" sqref="E32"/>
    </sheetView>
  </sheetViews>
  <sheetFormatPr defaultRowHeight="15" x14ac:dyDescent="0.25"/>
  <cols>
    <col min="1" max="1" width="4.42578125" customWidth="1"/>
  </cols>
  <sheetData>
    <row r="1" spans="1:1" ht="23.25" x14ac:dyDescent="0.35">
      <c r="A1" s="55" t="s">
        <v>207</v>
      </c>
    </row>
    <row r="2" spans="1:1" x14ac:dyDescent="0.25">
      <c r="A2" t="s">
        <v>208</v>
      </c>
    </row>
    <row r="3" spans="1:1" x14ac:dyDescent="0.25">
      <c r="A3" t="s">
        <v>191</v>
      </c>
    </row>
    <row r="5" spans="1:1" ht="18.75" x14ac:dyDescent="0.3">
      <c r="A5" s="54" t="s">
        <v>209</v>
      </c>
    </row>
    <row r="6" spans="1:1" x14ac:dyDescent="0.25">
      <c r="A6" t="s">
        <v>210</v>
      </c>
    </row>
    <row r="8" spans="1:1" ht="23.25" x14ac:dyDescent="0.35">
      <c r="A8" s="55" t="s">
        <v>211</v>
      </c>
    </row>
    <row r="9" spans="1:1" x14ac:dyDescent="0.25">
      <c r="A9" t="s">
        <v>212</v>
      </c>
    </row>
    <row r="10" spans="1:1" x14ac:dyDescent="0.25">
      <c r="A10" t="s">
        <v>213</v>
      </c>
    </row>
    <row r="11" spans="1:1" x14ac:dyDescent="0.25">
      <c r="A11" t="s">
        <v>214</v>
      </c>
    </row>
    <row r="12" spans="1:1" x14ac:dyDescent="0.25">
      <c r="A12" t="s">
        <v>215</v>
      </c>
    </row>
    <row r="13" spans="1:1" x14ac:dyDescent="0.25">
      <c r="A13" t="s">
        <v>216</v>
      </c>
    </row>
    <row r="14" spans="1:1" x14ac:dyDescent="0.25">
      <c r="A14" t="s">
        <v>217</v>
      </c>
    </row>
    <row r="15" spans="1:1" x14ac:dyDescent="0.25">
      <c r="A15" t="s">
        <v>218</v>
      </c>
    </row>
    <row r="16" spans="1:1" x14ac:dyDescent="0.25">
      <c r="A16" t="s">
        <v>219</v>
      </c>
    </row>
    <row r="17" spans="1:2" x14ac:dyDescent="0.25">
      <c r="A17" t="s">
        <v>220</v>
      </c>
    </row>
    <row r="18" spans="1:2" x14ac:dyDescent="0.25">
      <c r="A18" t="s">
        <v>221</v>
      </c>
    </row>
    <row r="19" spans="1:2" x14ac:dyDescent="0.25">
      <c r="A19" t="s">
        <v>222</v>
      </c>
    </row>
    <row r="20" spans="1:2" x14ac:dyDescent="0.25">
      <c r="A20" t="s">
        <v>223</v>
      </c>
    </row>
    <row r="21" spans="1:2" x14ac:dyDescent="0.25">
      <c r="A21" t="s">
        <v>224</v>
      </c>
    </row>
    <row r="22" spans="1:2" x14ac:dyDescent="0.25">
      <c r="A22" t="s">
        <v>225</v>
      </c>
    </row>
    <row r="23" spans="1:2" x14ac:dyDescent="0.25">
      <c r="A23" t="s">
        <v>226</v>
      </c>
    </row>
    <row r="27" spans="1:2" ht="23.25" x14ac:dyDescent="0.35">
      <c r="A27" s="55" t="s">
        <v>227</v>
      </c>
    </row>
    <row r="28" spans="1:2" ht="23.25" x14ac:dyDescent="0.35">
      <c r="A28" s="56" t="s">
        <v>143</v>
      </c>
      <c r="B28" t="s">
        <v>233</v>
      </c>
    </row>
    <row r="29" spans="1:2" ht="23.25" x14ac:dyDescent="0.35">
      <c r="A29" s="56" t="s">
        <v>143</v>
      </c>
      <c r="B29" t="s">
        <v>228</v>
      </c>
    </row>
    <row r="30" spans="1:2" ht="23.25" x14ac:dyDescent="0.35">
      <c r="A30" s="56" t="s">
        <v>143</v>
      </c>
      <c r="B30" t="s">
        <v>229</v>
      </c>
    </row>
    <row r="31" spans="1:2" ht="23.25" x14ac:dyDescent="0.35">
      <c r="A31" s="56" t="s">
        <v>143</v>
      </c>
      <c r="B31" t="s">
        <v>230</v>
      </c>
    </row>
    <row r="32" spans="1:2" ht="23.25" x14ac:dyDescent="0.35">
      <c r="A32" s="56" t="s">
        <v>143</v>
      </c>
      <c r="B32" t="s">
        <v>231</v>
      </c>
    </row>
    <row r="33" spans="1:2" ht="23.25" x14ac:dyDescent="0.35">
      <c r="A33" s="56" t="s">
        <v>143</v>
      </c>
      <c r="B33" t="s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5"/>
  <sheetViews>
    <sheetView workbookViewId="0">
      <selection activeCell="K8" sqref="K8"/>
    </sheetView>
  </sheetViews>
  <sheetFormatPr defaultRowHeight="15" x14ac:dyDescent="0.25"/>
  <cols>
    <col min="2" max="2" width="14" bestFit="1" customWidth="1"/>
    <col min="5" max="5" width="12.85546875" bestFit="1" customWidth="1"/>
  </cols>
  <sheetData>
    <row r="3" spans="1:5" x14ac:dyDescent="0.25">
      <c r="A3" s="4" t="s">
        <v>167</v>
      </c>
      <c r="B3" s="4" t="s">
        <v>168</v>
      </c>
      <c r="D3" s="29" t="s">
        <v>170</v>
      </c>
      <c r="E3" s="30" t="s">
        <v>38</v>
      </c>
    </row>
    <row r="4" spans="1:5" x14ac:dyDescent="0.25">
      <c r="A4" t="s">
        <v>169</v>
      </c>
      <c r="B4" s="32">
        <f>SUMIFS('General Journal'!E5:E28,'General Journal'!C5:C28,"Sales Revenue")</f>
        <v>3560000</v>
      </c>
      <c r="D4" s="28" t="s">
        <v>15</v>
      </c>
      <c r="E4" s="34">
        <v>3560000</v>
      </c>
    </row>
    <row r="5" spans="1:5" x14ac:dyDescent="0.25">
      <c r="A5" t="s">
        <v>3</v>
      </c>
      <c r="B5" s="32">
        <f>'Balance Sheet'!G6</f>
        <v>66460000</v>
      </c>
      <c r="D5" s="31" t="s">
        <v>2</v>
      </c>
      <c r="E5" s="35">
        <v>7400000</v>
      </c>
    </row>
    <row r="6" spans="1:5" x14ac:dyDescent="0.25">
      <c r="A6" t="s">
        <v>4</v>
      </c>
      <c r="B6" s="32">
        <f>'Balance Sheet'!G8</f>
        <v>36400000</v>
      </c>
    </row>
    <row r="7" spans="1:5" x14ac:dyDescent="0.25">
      <c r="A7" t="s">
        <v>153</v>
      </c>
      <c r="B7" s="33">
        <f>'Income Statement'!G20</f>
        <v>-3840000</v>
      </c>
    </row>
    <row r="12" spans="1:5" x14ac:dyDescent="0.25">
      <c r="A12" t="s">
        <v>171</v>
      </c>
      <c r="B12" t="s">
        <v>38</v>
      </c>
    </row>
    <row r="13" spans="1:5" x14ac:dyDescent="0.25">
      <c r="A13" t="s">
        <v>3</v>
      </c>
      <c r="B13" s="32">
        <v>66460000</v>
      </c>
    </row>
    <row r="14" spans="1:5" x14ac:dyDescent="0.25">
      <c r="A14" t="s">
        <v>4</v>
      </c>
      <c r="B14" s="32">
        <v>36400000</v>
      </c>
    </row>
    <row r="15" spans="1:5" x14ac:dyDescent="0.25">
      <c r="A15" t="s">
        <v>88</v>
      </c>
      <c r="B15" s="32">
        <v>18800000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showGridLines="0" workbookViewId="0">
      <selection activeCell="C10" sqref="C10"/>
    </sheetView>
  </sheetViews>
  <sheetFormatPr defaultRowHeight="15" x14ac:dyDescent="0.25"/>
  <cols>
    <col min="1" max="1" width="12.85546875" customWidth="1"/>
    <col min="2" max="2" width="15.28515625" customWidth="1"/>
    <col min="3" max="3" width="16.7109375" bestFit="1" customWidth="1"/>
    <col min="4" max="4" width="13.5703125" customWidth="1"/>
    <col min="5" max="5" width="12.5703125" bestFit="1" customWidth="1"/>
  </cols>
  <sheetData>
    <row r="1" spans="1:5" x14ac:dyDescent="0.25">
      <c r="A1" s="7" t="s">
        <v>29</v>
      </c>
      <c r="B1" s="7" t="s">
        <v>122</v>
      </c>
      <c r="C1" s="7" t="s">
        <v>123</v>
      </c>
      <c r="D1" s="7" t="s">
        <v>39</v>
      </c>
      <c r="E1" s="7" t="s">
        <v>40</v>
      </c>
    </row>
    <row r="2" spans="1:5" x14ac:dyDescent="0.25">
      <c r="A2" s="10">
        <v>46023</v>
      </c>
      <c r="B2" s="17">
        <v>1010</v>
      </c>
      <c r="C2" t="s">
        <v>3</v>
      </c>
      <c r="D2" s="9">
        <v>75000000</v>
      </c>
      <c r="E2" s="9"/>
    </row>
    <row r="3" spans="1:5" x14ac:dyDescent="0.25">
      <c r="A3" s="10">
        <v>46023</v>
      </c>
      <c r="B3" s="17">
        <v>1040</v>
      </c>
      <c r="C3" t="s">
        <v>4</v>
      </c>
      <c r="D3" s="9">
        <v>30000000</v>
      </c>
      <c r="E3" s="9"/>
    </row>
    <row r="4" spans="1:5" x14ac:dyDescent="0.25">
      <c r="A4" s="10">
        <v>46023</v>
      </c>
      <c r="B4" s="17">
        <v>1510</v>
      </c>
      <c r="C4" t="s">
        <v>88</v>
      </c>
      <c r="D4" s="9">
        <v>15000000</v>
      </c>
      <c r="E4" s="9"/>
    </row>
    <row r="5" spans="1:5" x14ac:dyDescent="0.25">
      <c r="A5" s="10">
        <v>46023</v>
      </c>
      <c r="B5" s="17">
        <v>3010</v>
      </c>
      <c r="C5" t="s">
        <v>124</v>
      </c>
      <c r="D5" s="9"/>
      <c r="E5" s="9">
        <v>120000000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showGridLines="0" workbookViewId="0">
      <selection activeCell="D6" sqref="D6"/>
    </sheetView>
  </sheetViews>
  <sheetFormatPr defaultRowHeight="15" x14ac:dyDescent="0.25"/>
  <cols>
    <col min="1" max="1" width="13.28515625" bestFit="1" customWidth="1"/>
    <col min="2" max="2" width="19.42578125" bestFit="1" customWidth="1"/>
    <col min="3" max="3" width="10.5703125" bestFit="1" customWidth="1"/>
    <col min="4" max="4" width="12" bestFit="1" customWidth="1"/>
    <col min="5" max="5" width="9.28515625" bestFit="1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 s="2" t="s">
        <v>125</v>
      </c>
      <c r="B2" t="s">
        <v>3</v>
      </c>
    </row>
    <row r="3" spans="1:2" x14ac:dyDescent="0.25">
      <c r="A3" t="s">
        <v>7</v>
      </c>
      <c r="B3" t="s">
        <v>8</v>
      </c>
    </row>
    <row r="4" spans="1:2" x14ac:dyDescent="0.25">
      <c r="A4" t="s">
        <v>9</v>
      </c>
      <c r="B4" t="s">
        <v>10</v>
      </c>
    </row>
    <row r="5" spans="1:2" x14ac:dyDescent="0.25">
      <c r="A5" s="2" t="s">
        <v>126</v>
      </c>
      <c r="B5" t="s">
        <v>4</v>
      </c>
    </row>
    <row r="6" spans="1:2" x14ac:dyDescent="0.25">
      <c r="A6" s="2" t="s">
        <v>127</v>
      </c>
      <c r="B6" t="s">
        <v>128</v>
      </c>
    </row>
    <row r="7" spans="1:2" x14ac:dyDescent="0.25">
      <c r="A7" t="s">
        <v>11</v>
      </c>
      <c r="B7" t="s">
        <v>12</v>
      </c>
    </row>
    <row r="8" spans="1:2" x14ac:dyDescent="0.25">
      <c r="A8" s="2" t="s">
        <v>129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s="2" t="s">
        <v>42</v>
      </c>
      <c r="B10" t="s">
        <v>43</v>
      </c>
    </row>
    <row r="11" spans="1:2" x14ac:dyDescent="0.25">
      <c r="A11" t="s">
        <v>16</v>
      </c>
      <c r="B11" t="s">
        <v>17</v>
      </c>
    </row>
    <row r="12" spans="1:2" x14ac:dyDescent="0.25">
      <c r="A12" s="2" t="s">
        <v>44</v>
      </c>
      <c r="B12" t="s">
        <v>45</v>
      </c>
    </row>
    <row r="13" spans="1:2" x14ac:dyDescent="0.25">
      <c r="A13" s="2" t="s">
        <v>46</v>
      </c>
      <c r="B13" t="s">
        <v>47</v>
      </c>
    </row>
    <row r="15" spans="1:2" x14ac:dyDescent="0.25">
      <c r="A15" s="1"/>
      <c r="B15" s="1"/>
    </row>
    <row r="20" spans="1:5" x14ac:dyDescent="0.25">
      <c r="A20" s="1"/>
      <c r="B20" s="1"/>
    </row>
    <row r="25" spans="1:5" x14ac:dyDescent="0.25">
      <c r="A25" s="3"/>
      <c r="B25" s="3"/>
      <c r="C25" s="7"/>
      <c r="D25" s="7"/>
      <c r="E25" s="7"/>
    </row>
    <row r="26" spans="1:5" x14ac:dyDescent="0.25">
      <c r="C26" s="9"/>
      <c r="D26" s="9"/>
      <c r="E26" s="9"/>
    </row>
    <row r="27" spans="1:5" x14ac:dyDescent="0.25">
      <c r="C27" s="9"/>
      <c r="D27" s="9"/>
      <c r="E27" s="9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showGridLines="0" workbookViewId="0">
      <selection activeCell="E6" sqref="E6"/>
    </sheetView>
  </sheetViews>
  <sheetFormatPr defaultRowHeight="15" x14ac:dyDescent="0.25"/>
  <cols>
    <col min="1" max="1" width="14" customWidth="1"/>
    <col min="2" max="2" width="18.85546875" bestFit="1" customWidth="1"/>
    <col min="3" max="3" width="11.28515625" bestFit="1" customWidth="1"/>
  </cols>
  <sheetData>
    <row r="1" spans="1:3" x14ac:dyDescent="0.25">
      <c r="A1" s="3" t="s">
        <v>18</v>
      </c>
      <c r="B1" s="3" t="s">
        <v>19</v>
      </c>
      <c r="C1" s="3" t="s">
        <v>20</v>
      </c>
    </row>
    <row r="2" spans="1:3" x14ac:dyDescent="0.25">
      <c r="A2" t="s">
        <v>51</v>
      </c>
      <c r="B2" t="s">
        <v>48</v>
      </c>
      <c r="C2" t="s">
        <v>62</v>
      </c>
    </row>
    <row r="3" spans="1:3" x14ac:dyDescent="0.25">
      <c r="A3" t="s">
        <v>52</v>
      </c>
      <c r="B3" t="s">
        <v>49</v>
      </c>
      <c r="C3" t="s">
        <v>63</v>
      </c>
    </row>
    <row r="4" spans="1:3" x14ac:dyDescent="0.25">
      <c r="A4" t="s">
        <v>53</v>
      </c>
      <c r="B4" t="s">
        <v>50</v>
      </c>
      <c r="C4" t="s">
        <v>64</v>
      </c>
    </row>
    <row r="5" spans="1:3" x14ac:dyDescent="0.25">
      <c r="A5" t="s">
        <v>67</v>
      </c>
      <c r="B5" t="s">
        <v>68</v>
      </c>
      <c r="C5" t="s">
        <v>69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showGridLines="0" workbookViewId="0">
      <selection activeCell="D9" sqref="D9"/>
    </sheetView>
  </sheetViews>
  <sheetFormatPr defaultRowHeight="15" x14ac:dyDescent="0.25"/>
  <cols>
    <col min="1" max="1" width="12.85546875" customWidth="1"/>
    <col min="2" max="2" width="18.5703125" bestFit="1" customWidth="1"/>
    <col min="3" max="3" width="9.7109375" bestFit="1" customWidth="1"/>
  </cols>
  <sheetData>
    <row r="1" spans="1:3" x14ac:dyDescent="0.25">
      <c r="A1" s="3" t="s">
        <v>21</v>
      </c>
      <c r="B1" s="3" t="s">
        <v>22</v>
      </c>
      <c r="C1" s="3" t="s">
        <v>20</v>
      </c>
    </row>
    <row r="2" spans="1:3" x14ac:dyDescent="0.25">
      <c r="A2" t="s">
        <v>55</v>
      </c>
      <c r="B2" t="s">
        <v>54</v>
      </c>
      <c r="C2" t="s">
        <v>65</v>
      </c>
    </row>
    <row r="3" spans="1:3" x14ac:dyDescent="0.25">
      <c r="A3" t="s">
        <v>56</v>
      </c>
      <c r="B3" t="s">
        <v>57</v>
      </c>
      <c r="C3" t="s">
        <v>66</v>
      </c>
    </row>
    <row r="4" spans="1:3" x14ac:dyDescent="0.25">
      <c r="A4" t="s">
        <v>70</v>
      </c>
      <c r="B4" t="s">
        <v>71</v>
      </c>
      <c r="C4" t="s">
        <v>72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showGridLines="0" workbookViewId="0">
      <selection activeCell="L18" sqref="L18"/>
    </sheetView>
  </sheetViews>
  <sheetFormatPr defaultRowHeight="15" x14ac:dyDescent="0.25"/>
  <cols>
    <col min="1" max="1" width="9.7109375" customWidth="1"/>
    <col min="2" max="2" width="18.5703125" bestFit="1" customWidth="1"/>
    <col min="3" max="3" width="10.5703125" bestFit="1" customWidth="1"/>
    <col min="4" max="4" width="14" customWidth="1"/>
  </cols>
  <sheetData>
    <row r="1" spans="1:5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</row>
    <row r="2" spans="1:5" x14ac:dyDescent="0.25">
      <c r="A2" t="s">
        <v>58</v>
      </c>
      <c r="B2" t="s">
        <v>59</v>
      </c>
      <c r="C2" s="9">
        <v>55000</v>
      </c>
      <c r="D2" s="9">
        <v>75000</v>
      </c>
      <c r="E2" s="9">
        <v>100</v>
      </c>
    </row>
    <row r="3" spans="1:5" x14ac:dyDescent="0.25">
      <c r="A3" t="s">
        <v>60</v>
      </c>
      <c r="B3" t="s">
        <v>61</v>
      </c>
      <c r="C3" s="9">
        <v>4500</v>
      </c>
      <c r="D3" s="9">
        <v>7000</v>
      </c>
      <c r="E3" s="9">
        <v>250</v>
      </c>
    </row>
    <row r="4" spans="1:5" x14ac:dyDescent="0.25">
      <c r="A4" t="s">
        <v>76</v>
      </c>
      <c r="B4" t="s">
        <v>73</v>
      </c>
      <c r="C4" s="9">
        <v>25000</v>
      </c>
      <c r="D4" s="9">
        <v>38000</v>
      </c>
      <c r="E4" s="9">
        <v>40</v>
      </c>
    </row>
    <row r="5" spans="1:5" x14ac:dyDescent="0.25">
      <c r="A5" t="s">
        <v>77</v>
      </c>
      <c r="B5" t="s">
        <v>74</v>
      </c>
      <c r="C5" s="9">
        <v>12000</v>
      </c>
      <c r="D5" s="9">
        <v>18000</v>
      </c>
      <c r="E5" s="9">
        <v>120</v>
      </c>
    </row>
    <row r="6" spans="1:5" x14ac:dyDescent="0.25">
      <c r="A6" t="s">
        <v>78</v>
      </c>
      <c r="B6" t="s">
        <v>75</v>
      </c>
      <c r="C6" s="9">
        <v>8000</v>
      </c>
      <c r="D6" s="9">
        <v>12000</v>
      </c>
      <c r="E6" s="9">
        <v>80</v>
      </c>
    </row>
  </sheetData>
  <conditionalFormatting sqref="E1:E6">
    <cfRule type="cellIs" dxfId="32" priority="1" operator="lessThan">
      <formula>10</formula>
    </cfRule>
  </conditionalFormatting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showGridLines="0" workbookViewId="0">
      <selection activeCell="D21" sqref="D21"/>
    </sheetView>
  </sheetViews>
  <sheetFormatPr defaultRowHeight="15" x14ac:dyDescent="0.25"/>
  <cols>
    <col min="1" max="1" width="11.28515625" bestFit="1" customWidth="1"/>
    <col min="2" max="2" width="13.7109375" customWidth="1"/>
    <col min="3" max="3" width="20" customWidth="1"/>
    <col min="4" max="4" width="17" customWidth="1"/>
    <col min="5" max="5" width="11.7109375" customWidth="1"/>
    <col min="6" max="6" width="12.85546875" bestFit="1" customWidth="1"/>
    <col min="7" max="7" width="11.85546875" customWidth="1"/>
    <col min="8" max="8" width="10.7109375" customWidth="1"/>
    <col min="9" max="9" width="12" customWidth="1"/>
  </cols>
  <sheetData>
    <row r="1" spans="1:9" ht="23.25" x14ac:dyDescent="0.35">
      <c r="A1" s="75" t="s">
        <v>15</v>
      </c>
      <c r="B1" s="75"/>
      <c r="C1" s="75"/>
      <c r="D1" s="75"/>
      <c r="E1" s="75"/>
      <c r="F1" s="75"/>
      <c r="G1" s="75"/>
      <c r="H1" s="75"/>
      <c r="I1" s="75"/>
    </row>
    <row r="2" spans="1:9" ht="21" x14ac:dyDescent="0.35">
      <c r="A2" s="76" t="s">
        <v>0</v>
      </c>
      <c r="B2" s="76"/>
      <c r="C2" s="76"/>
      <c r="D2" s="76"/>
      <c r="E2" s="76"/>
      <c r="F2" s="76"/>
      <c r="G2" s="76"/>
      <c r="H2" s="76"/>
      <c r="I2" s="76"/>
    </row>
    <row r="3" spans="1:9" ht="21" x14ac:dyDescent="0.35">
      <c r="A3" s="48"/>
      <c r="B3" s="48"/>
      <c r="C3" s="48"/>
      <c r="D3" s="48"/>
      <c r="E3" s="48"/>
      <c r="F3" s="48"/>
      <c r="G3" s="48"/>
      <c r="H3" s="48"/>
      <c r="I3" s="48"/>
    </row>
    <row r="4" spans="1:9" x14ac:dyDescent="0.25">
      <c r="A4" s="3" t="s">
        <v>28</v>
      </c>
      <c r="B4" s="3" t="s">
        <v>29</v>
      </c>
      <c r="C4" s="3" t="s">
        <v>30</v>
      </c>
      <c r="D4" s="3" t="s">
        <v>131</v>
      </c>
      <c r="E4" s="3" t="s">
        <v>23</v>
      </c>
      <c r="F4" s="3" t="s">
        <v>24</v>
      </c>
      <c r="G4" s="3" t="s">
        <v>31</v>
      </c>
      <c r="H4" s="3" t="s">
        <v>32</v>
      </c>
      <c r="I4" s="3" t="s">
        <v>33</v>
      </c>
    </row>
    <row r="5" spans="1:9" x14ac:dyDescent="0.25">
      <c r="A5" t="s">
        <v>112</v>
      </c>
      <c r="B5" s="10">
        <v>46027</v>
      </c>
      <c r="C5" t="s">
        <v>48</v>
      </c>
      <c r="D5" t="s">
        <v>40</v>
      </c>
      <c r="E5" t="s">
        <v>58</v>
      </c>
      <c r="F5" t="str">
        <f>VLOOKUP(E5,Inventory!A1:B6,2,FALSE)</f>
        <v>A4 Paper</v>
      </c>
      <c r="G5" s="9">
        <v>40</v>
      </c>
      <c r="H5" s="9">
        <f>VLOOKUP(E5,Inventory!A1:D6,4,0)</f>
        <v>75000</v>
      </c>
      <c r="I5" s="9">
        <f>G5*H5</f>
        <v>3000000</v>
      </c>
    </row>
    <row r="6" spans="1:9" x14ac:dyDescent="0.25">
      <c r="A6" t="s">
        <v>113</v>
      </c>
      <c r="B6" s="10">
        <v>46028</v>
      </c>
      <c r="C6" t="s">
        <v>83</v>
      </c>
      <c r="D6" t="s">
        <v>3</v>
      </c>
      <c r="E6" t="s">
        <v>60</v>
      </c>
      <c r="F6" t="str">
        <f>VLOOKUP(E6,Inventory!A2:B7,2,FALSE)</f>
        <v>Ballpoint Pen</v>
      </c>
      <c r="G6">
        <v>50</v>
      </c>
      <c r="H6" s="9">
        <f>VLOOKUP(E6,Inventory!A2:D7,4,0)</f>
        <v>7000</v>
      </c>
      <c r="I6" s="9">
        <f>G6*H6</f>
        <v>350000</v>
      </c>
    </row>
    <row r="7" spans="1:9" x14ac:dyDescent="0.25">
      <c r="A7" t="s">
        <v>114</v>
      </c>
      <c r="B7" s="10">
        <v>46034</v>
      </c>
      <c r="C7" t="s">
        <v>83</v>
      </c>
      <c r="D7" t="s">
        <v>3</v>
      </c>
      <c r="E7" t="s">
        <v>60</v>
      </c>
      <c r="F7" t="str">
        <f>VLOOKUP(E7,Inventory!A3:B8,2,FALSE)</f>
        <v>Ballpoint Pen</v>
      </c>
      <c r="G7">
        <v>30</v>
      </c>
      <c r="H7" s="9">
        <f>VLOOKUP(E7,Inventory!A3:D8,4,0)</f>
        <v>7000</v>
      </c>
      <c r="I7" s="9">
        <f>G7*H7</f>
        <v>210000</v>
      </c>
    </row>
    <row r="8" spans="1:9" x14ac:dyDescent="0.25">
      <c r="H8" s="9"/>
      <c r="I8" s="9"/>
    </row>
    <row r="9" spans="1:9" x14ac:dyDescent="0.25">
      <c r="H9" s="9"/>
      <c r="I9" s="9"/>
    </row>
    <row r="10" spans="1:9" x14ac:dyDescent="0.25">
      <c r="H10" s="9"/>
      <c r="I10" s="9"/>
    </row>
    <row r="11" spans="1:9" x14ac:dyDescent="0.25">
      <c r="H11" s="9"/>
      <c r="I11" s="9"/>
    </row>
    <row r="12" spans="1:9" x14ac:dyDescent="0.25">
      <c r="H12" s="9"/>
      <c r="I12" s="9"/>
    </row>
  </sheetData>
  <mergeCells count="2">
    <mergeCell ref="A1:I1"/>
    <mergeCell ref="A2:I2"/>
  </mergeCells>
  <dataValidations count="1">
    <dataValidation type="list" allowBlank="1" showInputMessage="1" showErrorMessage="1" sqref="D4:D7">
      <formula1>"Cash,Credit"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Customers!$B$1:$B$5</xm:f>
          </x14:formula1>
          <xm:sqref>C4:C7</xm:sqref>
        </x14:dataValidation>
        <x14:dataValidation type="list" allowBlank="1" showInputMessage="1" showErrorMessage="1">
          <x14:formula1>
            <xm:f>Inventory!$A$2:$A$6</xm:f>
          </x14:formula1>
          <xm:sqref>E4:E7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showGridLines="0" workbookViewId="0">
      <selection activeCell="I5" sqref="I5"/>
    </sheetView>
  </sheetViews>
  <sheetFormatPr defaultRowHeight="15" x14ac:dyDescent="0.25"/>
  <cols>
    <col min="1" max="1" width="10.5703125" bestFit="1" customWidth="1"/>
    <col min="2" max="2" width="12" customWidth="1"/>
    <col min="3" max="3" width="18.5703125" bestFit="1" customWidth="1"/>
    <col min="4" max="4" width="18.5703125" customWidth="1"/>
    <col min="8" max="8" width="10.5703125" bestFit="1" customWidth="1"/>
    <col min="9" max="9" width="13.28515625" bestFit="1" customWidth="1"/>
  </cols>
  <sheetData>
    <row r="1" spans="1:9" ht="23.25" x14ac:dyDescent="0.35">
      <c r="A1" s="75" t="s">
        <v>201</v>
      </c>
      <c r="B1" s="75"/>
      <c r="C1" s="75"/>
      <c r="D1" s="75"/>
      <c r="E1" s="75"/>
      <c r="F1" s="75"/>
      <c r="G1" s="75"/>
      <c r="H1" s="75"/>
      <c r="I1" s="75"/>
    </row>
    <row r="2" spans="1:9" ht="21" x14ac:dyDescent="0.35">
      <c r="A2" s="76" t="s">
        <v>0</v>
      </c>
      <c r="B2" s="76"/>
      <c r="C2" s="76"/>
      <c r="D2" s="76"/>
      <c r="E2" s="76"/>
      <c r="F2" s="76"/>
      <c r="G2" s="76"/>
      <c r="H2" s="76"/>
      <c r="I2" s="76"/>
    </row>
    <row r="3" spans="1:9" ht="21" x14ac:dyDescent="0.35">
      <c r="A3" s="48"/>
      <c r="B3" s="48"/>
      <c r="C3" s="48"/>
      <c r="D3" s="48"/>
      <c r="E3" s="48"/>
      <c r="F3" s="48"/>
      <c r="G3" s="48"/>
      <c r="H3" s="48"/>
      <c r="I3" s="48"/>
    </row>
    <row r="4" spans="1:9" x14ac:dyDescent="0.25">
      <c r="A4" s="3" t="s">
        <v>34</v>
      </c>
      <c r="B4" s="3" t="s">
        <v>29</v>
      </c>
      <c r="C4" s="3" t="s">
        <v>35</v>
      </c>
      <c r="D4" s="3" t="s">
        <v>131</v>
      </c>
      <c r="E4" s="3" t="s">
        <v>23</v>
      </c>
      <c r="F4" s="3" t="s">
        <v>24</v>
      </c>
      <c r="G4" s="3" t="s">
        <v>31</v>
      </c>
      <c r="H4" s="3" t="s">
        <v>25</v>
      </c>
      <c r="I4" s="3" t="s">
        <v>33</v>
      </c>
    </row>
    <row r="5" spans="1:9" x14ac:dyDescent="0.25">
      <c r="A5" t="s">
        <v>111</v>
      </c>
      <c r="B5" s="10">
        <v>46025</v>
      </c>
      <c r="C5" t="s">
        <v>57</v>
      </c>
      <c r="D5" t="s">
        <v>40</v>
      </c>
      <c r="E5" t="s">
        <v>58</v>
      </c>
      <c r="F5" t="str">
        <f>VLOOKUP(E5,Inventory!A1:B6,2,0)</f>
        <v>A4 Paper</v>
      </c>
      <c r="G5" s="9">
        <v>100</v>
      </c>
      <c r="H5" s="9">
        <f>VLOOKUP(E5,Inventory!A1:C6,3,0)</f>
        <v>55000</v>
      </c>
      <c r="I5" s="9">
        <f>H5*G5</f>
        <v>5500000</v>
      </c>
    </row>
    <row r="6" spans="1:9" x14ac:dyDescent="0.25">
      <c r="A6" t="s">
        <v>96</v>
      </c>
      <c r="B6" s="10">
        <v>46026</v>
      </c>
      <c r="C6" t="s">
        <v>71</v>
      </c>
      <c r="D6" t="s">
        <v>3</v>
      </c>
      <c r="E6" t="s">
        <v>60</v>
      </c>
      <c r="F6" t="str">
        <f>VLOOKUP(E6,Inventory!A2:B7,2,0)</f>
        <v>Ballpoint Pen</v>
      </c>
      <c r="G6" s="9">
        <v>200</v>
      </c>
      <c r="H6" s="9">
        <f>VLOOKUP(E6,Inventory!A2:C7,3,0)</f>
        <v>4500</v>
      </c>
      <c r="I6" s="9">
        <f>H6*G6</f>
        <v>900000</v>
      </c>
    </row>
    <row r="7" spans="1:9" x14ac:dyDescent="0.25">
      <c r="G7" s="9"/>
      <c r="H7" s="9"/>
      <c r="I7" s="9"/>
    </row>
    <row r="8" spans="1:9" x14ac:dyDescent="0.25">
      <c r="G8" s="9"/>
      <c r="H8" s="9"/>
      <c r="I8" s="9"/>
    </row>
    <row r="9" spans="1:9" x14ac:dyDescent="0.25">
      <c r="G9" s="9"/>
      <c r="H9" s="9"/>
      <c r="I9" s="9"/>
    </row>
    <row r="10" spans="1:9" x14ac:dyDescent="0.25">
      <c r="G10" s="9"/>
      <c r="H10" s="9"/>
    </row>
    <row r="11" spans="1:9" x14ac:dyDescent="0.25">
      <c r="G11" s="9"/>
      <c r="H11" s="9"/>
    </row>
    <row r="12" spans="1:9" x14ac:dyDescent="0.25">
      <c r="G12" s="9"/>
      <c r="H12" s="9"/>
    </row>
  </sheetData>
  <mergeCells count="2">
    <mergeCell ref="A1:I1"/>
    <mergeCell ref="A2:I2"/>
  </mergeCells>
  <dataValidations count="1">
    <dataValidation type="list" allowBlank="1" showInputMessage="1" showErrorMessage="1" sqref="D4:D6">
      <formula1>"Cash,Credit"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Suppliers!$B$2:$B$4</xm:f>
          </x14:formula1>
          <xm:sqref>C4:C6</xm:sqref>
        </x14:dataValidation>
        <x14:dataValidation type="list" allowBlank="1" showInputMessage="1" showErrorMessage="1">
          <x14:formula1>
            <xm:f>Inventory!$A$2:$A$6</xm:f>
          </x14:formula1>
          <xm:sqref>E4:E6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showGridLines="0" workbookViewId="0">
      <selection activeCell="D12" sqref="D12"/>
    </sheetView>
  </sheetViews>
  <sheetFormatPr defaultRowHeight="15" x14ac:dyDescent="0.25"/>
  <cols>
    <col min="1" max="1" width="12.42578125" bestFit="1" customWidth="1"/>
    <col min="2" max="2" width="9.7109375" bestFit="1" customWidth="1"/>
    <col min="3" max="3" width="12.28515625" customWidth="1"/>
    <col min="4" max="4" width="30.140625" customWidth="1"/>
    <col min="5" max="5" width="18.85546875" customWidth="1"/>
    <col min="6" max="6" width="22.28515625" customWidth="1"/>
    <col min="7" max="7" width="13.28515625" bestFit="1" customWidth="1"/>
  </cols>
  <sheetData>
    <row r="1" spans="1:9" ht="23.25" x14ac:dyDescent="0.35">
      <c r="A1" s="75" t="s">
        <v>202</v>
      </c>
      <c r="B1" s="75"/>
      <c r="C1" s="75"/>
      <c r="D1" s="75"/>
      <c r="E1" s="75"/>
      <c r="F1" s="75"/>
      <c r="G1" s="75"/>
      <c r="H1" s="49"/>
      <c r="I1" s="49"/>
    </row>
    <row r="2" spans="1:9" ht="21" x14ac:dyDescent="0.35">
      <c r="A2" s="76" t="s">
        <v>0</v>
      </c>
      <c r="B2" s="76"/>
      <c r="C2" s="76"/>
      <c r="D2" s="76"/>
      <c r="E2" s="76"/>
      <c r="F2" s="76"/>
      <c r="G2" s="76"/>
      <c r="H2" s="50"/>
      <c r="I2" s="50"/>
    </row>
    <row r="3" spans="1:9" ht="21" x14ac:dyDescent="0.35">
      <c r="A3" s="47"/>
      <c r="B3" s="47"/>
      <c r="C3" s="47"/>
      <c r="D3" s="47"/>
      <c r="E3" s="47"/>
      <c r="F3" s="47"/>
      <c r="G3" s="47"/>
      <c r="H3" s="50"/>
      <c r="I3" s="50"/>
    </row>
    <row r="4" spans="1:9" x14ac:dyDescent="0.25">
      <c r="A4" s="13" t="s">
        <v>89</v>
      </c>
      <c r="B4" s="3" t="s">
        <v>29</v>
      </c>
      <c r="C4" s="3" t="s">
        <v>36</v>
      </c>
      <c r="D4" s="3" t="s">
        <v>30</v>
      </c>
      <c r="E4" s="3" t="s">
        <v>118</v>
      </c>
      <c r="F4" s="3" t="s">
        <v>90</v>
      </c>
      <c r="G4" s="3" t="s">
        <v>38</v>
      </c>
    </row>
    <row r="5" spans="1:9" x14ac:dyDescent="0.25">
      <c r="A5" t="s">
        <v>115</v>
      </c>
      <c r="B5" s="10">
        <v>46028</v>
      </c>
      <c r="C5" t="s">
        <v>113</v>
      </c>
      <c r="D5" t="s">
        <v>83</v>
      </c>
      <c r="E5" t="s">
        <v>113</v>
      </c>
      <c r="F5" t="s">
        <v>3</v>
      </c>
      <c r="G5" s="9">
        <v>350000</v>
      </c>
    </row>
    <row r="6" spans="1:9" x14ac:dyDescent="0.25">
      <c r="A6" t="s">
        <v>116</v>
      </c>
      <c r="B6" s="10">
        <v>46031</v>
      </c>
      <c r="C6" t="s">
        <v>112</v>
      </c>
      <c r="D6" t="s">
        <v>119</v>
      </c>
      <c r="E6" t="s">
        <v>112</v>
      </c>
      <c r="F6" t="s">
        <v>91</v>
      </c>
      <c r="G6" s="9">
        <v>3000000</v>
      </c>
    </row>
    <row r="7" spans="1:9" x14ac:dyDescent="0.25">
      <c r="A7" t="s">
        <v>117</v>
      </c>
      <c r="B7" s="10">
        <v>46034</v>
      </c>
      <c r="C7" t="s">
        <v>114</v>
      </c>
      <c r="D7" t="s">
        <v>83</v>
      </c>
      <c r="E7" t="s">
        <v>114</v>
      </c>
      <c r="F7" t="s">
        <v>3</v>
      </c>
      <c r="G7" s="9">
        <v>710000</v>
      </c>
    </row>
    <row r="8" spans="1:9" x14ac:dyDescent="0.25">
      <c r="G8" s="9"/>
    </row>
    <row r="9" spans="1:9" x14ac:dyDescent="0.25">
      <c r="G9" s="9"/>
    </row>
    <row r="10" spans="1:9" x14ac:dyDescent="0.25">
      <c r="G10" s="9"/>
    </row>
    <row r="11" spans="1:9" x14ac:dyDescent="0.25">
      <c r="G11" s="9"/>
    </row>
  </sheetData>
  <mergeCells count="2">
    <mergeCell ref="A1:G1"/>
    <mergeCell ref="A2:G2"/>
  </mergeCells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showGridLines="0" workbookViewId="0">
      <selection activeCell="F18" sqref="F18"/>
    </sheetView>
  </sheetViews>
  <sheetFormatPr defaultRowHeight="15" x14ac:dyDescent="0.25"/>
  <cols>
    <col min="1" max="1" width="14.5703125" customWidth="1"/>
    <col min="2" max="2" width="9.7109375" bestFit="1" customWidth="1"/>
    <col min="3" max="3" width="19.42578125" bestFit="1" customWidth="1"/>
    <col min="4" max="4" width="15.85546875" bestFit="1" customWidth="1"/>
    <col min="5" max="5" width="19.85546875" bestFit="1" customWidth="1"/>
    <col min="6" max="6" width="19.85546875" customWidth="1"/>
    <col min="7" max="7" width="13.28515625" bestFit="1" customWidth="1"/>
  </cols>
  <sheetData>
    <row r="1" spans="1:7" ht="23.25" x14ac:dyDescent="0.35">
      <c r="A1" s="75" t="s">
        <v>203</v>
      </c>
      <c r="B1" s="75"/>
      <c r="C1" s="75"/>
      <c r="D1" s="75"/>
      <c r="E1" s="75"/>
      <c r="F1" s="75"/>
      <c r="G1" s="75"/>
    </row>
    <row r="2" spans="1:7" ht="21" x14ac:dyDescent="0.35">
      <c r="A2" s="76" t="s">
        <v>0</v>
      </c>
      <c r="B2" s="76"/>
      <c r="C2" s="76"/>
      <c r="D2" s="76"/>
      <c r="E2" s="76"/>
      <c r="F2" s="76"/>
      <c r="G2" s="76"/>
    </row>
    <row r="3" spans="1:7" ht="21" x14ac:dyDescent="0.35">
      <c r="A3" s="47"/>
      <c r="B3" s="47"/>
      <c r="C3" s="47"/>
      <c r="D3" s="47"/>
      <c r="E3" s="47"/>
      <c r="F3" s="47"/>
      <c r="G3" s="47"/>
    </row>
    <row r="4" spans="1:7" x14ac:dyDescent="0.25">
      <c r="A4" s="13" t="s">
        <v>92</v>
      </c>
      <c r="B4" s="3" t="s">
        <v>29</v>
      </c>
      <c r="C4" s="3" t="s">
        <v>93</v>
      </c>
      <c r="D4" s="3" t="s">
        <v>36</v>
      </c>
      <c r="E4" s="3" t="s">
        <v>37</v>
      </c>
      <c r="F4" s="3" t="s">
        <v>90</v>
      </c>
      <c r="G4" s="3" t="s">
        <v>38</v>
      </c>
    </row>
    <row r="5" spans="1:7" x14ac:dyDescent="0.25">
      <c r="A5" t="s">
        <v>95</v>
      </c>
      <c r="B5" s="10">
        <v>46026</v>
      </c>
      <c r="C5" s="10" t="s">
        <v>71</v>
      </c>
      <c r="D5" t="s">
        <v>96</v>
      </c>
      <c r="E5" t="s">
        <v>61</v>
      </c>
      <c r="F5" t="s">
        <v>3</v>
      </c>
      <c r="G5" s="9">
        <v>900000</v>
      </c>
    </row>
    <row r="6" spans="1:7" x14ac:dyDescent="0.25">
      <c r="A6" t="s">
        <v>97</v>
      </c>
      <c r="B6" s="10">
        <v>46029</v>
      </c>
      <c r="C6" s="10" t="s">
        <v>98</v>
      </c>
      <c r="D6" t="s">
        <v>99</v>
      </c>
      <c r="E6" t="s">
        <v>47</v>
      </c>
      <c r="F6" t="s">
        <v>91</v>
      </c>
      <c r="G6" s="9">
        <v>1250000</v>
      </c>
    </row>
    <row r="7" spans="1:7" x14ac:dyDescent="0.25">
      <c r="A7" t="s">
        <v>100</v>
      </c>
      <c r="B7" s="10">
        <v>46030</v>
      </c>
      <c r="C7" s="10" t="s">
        <v>103</v>
      </c>
      <c r="D7" t="s">
        <v>104</v>
      </c>
      <c r="E7" t="s">
        <v>105</v>
      </c>
      <c r="F7" t="s">
        <v>91</v>
      </c>
      <c r="G7" s="9">
        <v>650000</v>
      </c>
    </row>
    <row r="8" spans="1:7" x14ac:dyDescent="0.25">
      <c r="A8" t="s">
        <v>101</v>
      </c>
      <c r="B8" s="10">
        <v>46032</v>
      </c>
      <c r="C8" s="10" t="s">
        <v>106</v>
      </c>
      <c r="D8" t="s">
        <v>107</v>
      </c>
      <c r="E8" t="s">
        <v>108</v>
      </c>
      <c r="F8" t="s">
        <v>91</v>
      </c>
      <c r="G8" s="9">
        <v>3800000</v>
      </c>
    </row>
    <row r="9" spans="1:7" x14ac:dyDescent="0.25">
      <c r="A9" t="s">
        <v>102</v>
      </c>
      <c r="B9" s="10">
        <v>46033</v>
      </c>
      <c r="C9" s="10" t="s">
        <v>109</v>
      </c>
      <c r="D9" t="s">
        <v>110</v>
      </c>
      <c r="E9" t="s">
        <v>17</v>
      </c>
      <c r="F9" t="s">
        <v>91</v>
      </c>
      <c r="G9" s="9">
        <v>5500000</v>
      </c>
    </row>
  </sheetData>
  <mergeCells count="2">
    <mergeCell ref="A1:G1"/>
    <mergeCell ref="A2:G2"/>
  </mergeCell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showGridLines="0" workbookViewId="0">
      <selection activeCell="G13" sqref="G13"/>
    </sheetView>
  </sheetViews>
  <sheetFormatPr defaultRowHeight="15" x14ac:dyDescent="0.25"/>
  <cols>
    <col min="1" max="1" width="9.7109375" bestFit="1" customWidth="1"/>
    <col min="2" max="2" width="15.85546875" bestFit="1" customWidth="1"/>
    <col min="3" max="3" width="18.5703125" bestFit="1" customWidth="1"/>
    <col min="4" max="4" width="13.28515625" bestFit="1" customWidth="1"/>
    <col min="5" max="5" width="12.5703125" bestFit="1" customWidth="1"/>
    <col min="6" max="6" width="20.28515625" customWidth="1"/>
    <col min="9" max="9" width="11.5703125" bestFit="1" customWidth="1"/>
  </cols>
  <sheetData>
    <row r="1" spans="1:9" ht="23.25" x14ac:dyDescent="0.35">
      <c r="A1" s="75" t="s">
        <v>204</v>
      </c>
      <c r="B1" s="75"/>
      <c r="C1" s="75"/>
      <c r="D1" s="75"/>
      <c r="E1" s="75"/>
      <c r="F1" s="75"/>
      <c r="G1" s="49"/>
    </row>
    <row r="2" spans="1:9" ht="21" x14ac:dyDescent="0.35">
      <c r="A2" s="76" t="s">
        <v>0</v>
      </c>
      <c r="B2" s="76"/>
      <c r="C2" s="76"/>
      <c r="D2" s="76"/>
      <c r="E2" s="76"/>
      <c r="F2" s="76"/>
      <c r="G2" s="50"/>
    </row>
    <row r="3" spans="1:9" ht="21" x14ac:dyDescent="0.35">
      <c r="A3" s="77" t="s">
        <v>205</v>
      </c>
      <c r="B3" s="78"/>
      <c r="C3" s="78"/>
      <c r="D3" s="78"/>
      <c r="E3" s="78"/>
      <c r="F3" s="78"/>
      <c r="G3" s="50"/>
    </row>
    <row r="4" spans="1:9" x14ac:dyDescent="0.25">
      <c r="A4" s="3" t="s">
        <v>29</v>
      </c>
      <c r="B4" s="3" t="s">
        <v>36</v>
      </c>
      <c r="C4" s="3" t="s">
        <v>6</v>
      </c>
      <c r="D4" s="3" t="s">
        <v>39</v>
      </c>
      <c r="E4" s="3" t="s">
        <v>40</v>
      </c>
      <c r="F4" s="3" t="s">
        <v>37</v>
      </c>
    </row>
    <row r="5" spans="1:9" x14ac:dyDescent="0.25">
      <c r="A5" s="15">
        <v>46023</v>
      </c>
      <c r="B5" s="5" t="s">
        <v>130</v>
      </c>
      <c r="C5" s="11" t="s">
        <v>3</v>
      </c>
      <c r="D5" s="12">
        <v>75000000</v>
      </c>
      <c r="E5" s="12"/>
      <c r="F5" s="18"/>
    </row>
    <row r="6" spans="1:9" x14ac:dyDescent="0.25">
      <c r="A6" s="15"/>
      <c r="B6" s="5" t="s">
        <v>130</v>
      </c>
      <c r="C6" s="11" t="s">
        <v>4</v>
      </c>
      <c r="D6" s="12">
        <v>30000000</v>
      </c>
      <c r="E6" s="12"/>
      <c r="F6" s="51"/>
    </row>
    <row r="7" spans="1:9" x14ac:dyDescent="0.25">
      <c r="A7" s="15"/>
      <c r="B7" s="5" t="s">
        <v>130</v>
      </c>
      <c r="C7" s="11" t="s">
        <v>88</v>
      </c>
      <c r="D7" s="12">
        <v>15000000</v>
      </c>
      <c r="E7" s="12"/>
      <c r="F7" s="51"/>
    </row>
    <row r="8" spans="1:9" x14ac:dyDescent="0.25">
      <c r="A8" s="15"/>
      <c r="B8" s="5" t="s">
        <v>130</v>
      </c>
      <c r="C8" s="11" t="s">
        <v>124</v>
      </c>
      <c r="D8" s="12"/>
      <c r="E8" s="12">
        <v>120000000</v>
      </c>
      <c r="F8" s="51"/>
    </row>
    <row r="9" spans="1:9" ht="30" x14ac:dyDescent="0.25">
      <c r="A9" s="15">
        <v>46025</v>
      </c>
      <c r="B9" s="16" t="s">
        <v>111</v>
      </c>
      <c r="C9" s="11" t="s">
        <v>4</v>
      </c>
      <c r="D9" s="12">
        <v>5500000</v>
      </c>
      <c r="E9" s="12"/>
      <c r="F9" s="52" t="s">
        <v>82</v>
      </c>
    </row>
    <row r="10" spans="1:9" x14ac:dyDescent="0.25">
      <c r="A10" s="15"/>
      <c r="B10" s="16"/>
      <c r="C10" s="11" t="s">
        <v>94</v>
      </c>
      <c r="D10" s="12"/>
      <c r="E10" s="12">
        <v>5500000</v>
      </c>
      <c r="F10" s="52"/>
    </row>
    <row r="11" spans="1:9" ht="30" x14ac:dyDescent="0.25">
      <c r="A11" s="15">
        <v>46026</v>
      </c>
      <c r="B11" s="16" t="s">
        <v>96</v>
      </c>
      <c r="C11" s="11" t="s">
        <v>4</v>
      </c>
      <c r="D11" s="12">
        <v>900000</v>
      </c>
      <c r="E11" s="12"/>
      <c r="F11" s="52" t="s">
        <v>120</v>
      </c>
    </row>
    <row r="12" spans="1:9" x14ac:dyDescent="0.25">
      <c r="A12" s="15"/>
      <c r="B12" s="16"/>
      <c r="C12" s="11" t="s">
        <v>86</v>
      </c>
      <c r="D12" s="12"/>
      <c r="E12" s="12">
        <v>900000</v>
      </c>
      <c r="F12" s="52"/>
    </row>
    <row r="13" spans="1:9" ht="30" x14ac:dyDescent="0.25">
      <c r="A13" s="14">
        <v>46027</v>
      </c>
      <c r="B13" s="16" t="s">
        <v>112</v>
      </c>
      <c r="C13" t="s">
        <v>84</v>
      </c>
      <c r="D13" s="9">
        <v>3000000</v>
      </c>
      <c r="E13" s="9"/>
      <c r="F13" s="53" t="s">
        <v>85</v>
      </c>
    </row>
    <row r="14" spans="1:9" x14ac:dyDescent="0.25">
      <c r="A14" s="14"/>
      <c r="B14" s="16"/>
      <c r="C14" t="s">
        <v>81</v>
      </c>
      <c r="D14" s="9"/>
      <c r="E14" s="9">
        <v>3000000</v>
      </c>
      <c r="F14" s="53"/>
      <c r="I14" s="8"/>
    </row>
    <row r="15" spans="1:9" x14ac:dyDescent="0.25">
      <c r="A15" s="14">
        <v>46028</v>
      </c>
      <c r="B15" s="16" t="s">
        <v>113</v>
      </c>
      <c r="C15" t="s">
        <v>3</v>
      </c>
      <c r="D15" s="9">
        <v>350000</v>
      </c>
      <c r="E15" s="9"/>
      <c r="F15" s="53" t="s">
        <v>15</v>
      </c>
      <c r="I15" s="8"/>
    </row>
    <row r="16" spans="1:9" x14ac:dyDescent="0.25">
      <c r="A16" s="14"/>
      <c r="B16" s="16"/>
      <c r="C16" t="s">
        <v>81</v>
      </c>
      <c r="D16" s="9"/>
      <c r="E16" s="9">
        <v>350000</v>
      </c>
      <c r="F16" s="53"/>
      <c r="I16" s="8"/>
    </row>
    <row r="17" spans="1:9" x14ac:dyDescent="0.25">
      <c r="A17" s="14">
        <v>46029</v>
      </c>
      <c r="B17" s="16" t="s">
        <v>97</v>
      </c>
      <c r="C17" t="s">
        <v>47</v>
      </c>
      <c r="D17" s="9">
        <v>1250000</v>
      </c>
      <c r="E17" s="9"/>
      <c r="F17" s="53" t="s">
        <v>47</v>
      </c>
      <c r="I17" s="8"/>
    </row>
    <row r="18" spans="1:9" x14ac:dyDescent="0.25">
      <c r="A18" s="14"/>
      <c r="B18" s="16"/>
      <c r="C18" t="s">
        <v>86</v>
      </c>
      <c r="D18" s="9"/>
      <c r="E18" s="9">
        <v>1250000</v>
      </c>
      <c r="F18" s="53"/>
      <c r="I18" s="8"/>
    </row>
    <row r="19" spans="1:9" x14ac:dyDescent="0.25">
      <c r="A19" s="14">
        <v>46030</v>
      </c>
      <c r="B19" s="16" t="s">
        <v>100</v>
      </c>
      <c r="C19" t="s">
        <v>121</v>
      </c>
      <c r="D19" s="9">
        <v>650000</v>
      </c>
      <c r="E19" s="9"/>
      <c r="F19" s="53" t="s">
        <v>121</v>
      </c>
    </row>
    <row r="20" spans="1:9" x14ac:dyDescent="0.25">
      <c r="A20" s="14"/>
      <c r="B20" s="16"/>
      <c r="C20" t="s">
        <v>86</v>
      </c>
      <c r="D20" s="9"/>
      <c r="E20" s="9">
        <v>650000</v>
      </c>
      <c r="F20" s="53"/>
    </row>
    <row r="21" spans="1:9" ht="30" x14ac:dyDescent="0.25">
      <c r="A21" s="14">
        <v>46031</v>
      </c>
      <c r="B21" s="16" t="s">
        <v>116</v>
      </c>
      <c r="C21" t="s">
        <v>86</v>
      </c>
      <c r="D21" s="9">
        <v>3000000</v>
      </c>
      <c r="E21" s="9"/>
      <c r="F21" s="53" t="s">
        <v>79</v>
      </c>
    </row>
    <row r="22" spans="1:9" x14ac:dyDescent="0.25">
      <c r="A22" s="14"/>
      <c r="B22" s="16"/>
      <c r="C22" t="s">
        <v>84</v>
      </c>
      <c r="D22" s="9"/>
      <c r="E22" s="9">
        <v>3000000</v>
      </c>
      <c r="F22" s="53"/>
    </row>
    <row r="23" spans="1:9" x14ac:dyDescent="0.25">
      <c r="A23" s="14">
        <v>46032</v>
      </c>
      <c r="B23" s="16" t="s">
        <v>107</v>
      </c>
      <c r="C23" t="s">
        <v>88</v>
      </c>
      <c r="D23" s="9">
        <v>3800000</v>
      </c>
      <c r="E23" s="9"/>
      <c r="F23" s="53" t="s">
        <v>87</v>
      </c>
    </row>
    <row r="24" spans="1:9" x14ac:dyDescent="0.25">
      <c r="A24" s="14"/>
      <c r="B24" s="16"/>
      <c r="C24" t="s">
        <v>3</v>
      </c>
      <c r="D24" s="9"/>
      <c r="E24" s="9">
        <v>3800000</v>
      </c>
      <c r="F24" s="53"/>
    </row>
    <row r="25" spans="1:9" x14ac:dyDescent="0.25">
      <c r="A25" s="14">
        <v>46033</v>
      </c>
      <c r="B25" s="16" t="s">
        <v>110</v>
      </c>
      <c r="C25" t="s">
        <v>17</v>
      </c>
      <c r="D25" s="9">
        <v>5500000</v>
      </c>
      <c r="E25" s="9"/>
      <c r="F25" s="53" t="s">
        <v>17</v>
      </c>
    </row>
    <row r="26" spans="1:9" x14ac:dyDescent="0.25">
      <c r="A26" s="14"/>
      <c r="B26" s="16"/>
      <c r="C26" t="s">
        <v>3</v>
      </c>
      <c r="D26" s="9"/>
      <c r="E26" s="9">
        <v>5500000</v>
      </c>
      <c r="F26" s="53"/>
    </row>
    <row r="27" spans="1:9" x14ac:dyDescent="0.25">
      <c r="A27" s="14">
        <v>46034</v>
      </c>
      <c r="B27" s="16" t="s">
        <v>114</v>
      </c>
      <c r="C27" t="s">
        <v>3</v>
      </c>
      <c r="D27" s="9">
        <v>210000</v>
      </c>
      <c r="E27" s="9"/>
      <c r="F27" s="53" t="s">
        <v>15</v>
      </c>
    </row>
    <row r="28" spans="1:9" x14ac:dyDescent="0.25">
      <c r="A28" s="14"/>
      <c r="B28" s="16"/>
      <c r="C28" t="s">
        <v>81</v>
      </c>
      <c r="D28" s="9"/>
      <c r="E28" s="9">
        <v>210000</v>
      </c>
      <c r="F28" s="53"/>
    </row>
  </sheetData>
  <mergeCells count="3">
    <mergeCell ref="A1:F1"/>
    <mergeCell ref="A2:F2"/>
    <mergeCell ref="A3:F3"/>
  </mergeCell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COA!$B$2:$B$13</xm:f>
          </x14:formula1>
          <xm:sqref>C4:C28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showGridLines="0" workbookViewId="0">
      <selection activeCell="I7" sqref="I7"/>
    </sheetView>
  </sheetViews>
  <sheetFormatPr defaultRowHeight="15" x14ac:dyDescent="0.25"/>
  <cols>
    <col min="1" max="1" width="11.85546875" customWidth="1"/>
    <col min="2" max="2" width="15.85546875" bestFit="1" customWidth="1"/>
    <col min="3" max="3" width="18.5703125" bestFit="1" customWidth="1"/>
    <col min="4" max="4" width="18.28515625" bestFit="1" customWidth="1"/>
    <col min="5" max="5" width="11.5703125" bestFit="1" customWidth="1"/>
    <col min="6" max="6" width="15.28515625" bestFit="1" customWidth="1"/>
    <col min="7" max="7" width="14.7109375" customWidth="1"/>
  </cols>
  <sheetData>
    <row r="1" spans="1:7" ht="23.25" x14ac:dyDescent="0.35">
      <c r="A1" s="75" t="s">
        <v>206</v>
      </c>
      <c r="B1" s="75"/>
      <c r="C1" s="75"/>
      <c r="D1" s="75"/>
      <c r="E1" s="75"/>
      <c r="F1" s="75"/>
      <c r="G1" s="75"/>
    </row>
    <row r="2" spans="1:7" ht="21" x14ac:dyDescent="0.35">
      <c r="A2" s="76" t="s">
        <v>0</v>
      </c>
      <c r="B2" s="76"/>
      <c r="C2" s="76"/>
      <c r="D2" s="76"/>
      <c r="E2" s="76"/>
      <c r="F2" s="76"/>
      <c r="G2" s="76"/>
    </row>
    <row r="3" spans="1:7" x14ac:dyDescent="0.25">
      <c r="A3" s="78" t="s">
        <v>205</v>
      </c>
      <c r="B3" s="78"/>
      <c r="C3" s="78"/>
      <c r="D3" s="78"/>
      <c r="E3" s="78"/>
      <c r="F3" s="78"/>
      <c r="G3" s="78"/>
    </row>
    <row r="4" spans="1:7" x14ac:dyDescent="0.25">
      <c r="A4" s="3" t="s">
        <v>29</v>
      </c>
      <c r="B4" s="3" t="s">
        <v>36</v>
      </c>
      <c r="C4" s="3" t="s">
        <v>6</v>
      </c>
      <c r="D4" s="3" t="s">
        <v>37</v>
      </c>
      <c r="E4" s="3" t="s">
        <v>39</v>
      </c>
      <c r="F4" s="3" t="s">
        <v>40</v>
      </c>
      <c r="G4" s="3" t="s">
        <v>41</v>
      </c>
    </row>
    <row r="5" spans="1:7" x14ac:dyDescent="0.25">
      <c r="A5" s="10">
        <v>46023</v>
      </c>
      <c r="B5" t="s">
        <v>130</v>
      </c>
      <c r="C5" t="s">
        <v>3</v>
      </c>
      <c r="D5" t="s">
        <v>132</v>
      </c>
      <c r="E5" s="9">
        <v>75000000</v>
      </c>
      <c r="F5" s="9"/>
      <c r="G5" s="9">
        <f>E5</f>
        <v>75000000</v>
      </c>
    </row>
    <row r="6" spans="1:7" x14ac:dyDescent="0.25">
      <c r="A6" s="10">
        <v>46026</v>
      </c>
      <c r="B6" t="s">
        <v>96</v>
      </c>
      <c r="C6" t="s">
        <v>3</v>
      </c>
      <c r="D6" t="s">
        <v>133</v>
      </c>
      <c r="E6" s="9"/>
      <c r="F6" s="9">
        <v>900000</v>
      </c>
      <c r="G6" s="9">
        <f>G5-F6</f>
        <v>74100000</v>
      </c>
    </row>
    <row r="7" spans="1:7" x14ac:dyDescent="0.25">
      <c r="A7" s="10">
        <v>46028</v>
      </c>
      <c r="B7" t="s">
        <v>113</v>
      </c>
      <c r="C7" t="s">
        <v>3</v>
      </c>
      <c r="D7" t="s">
        <v>134</v>
      </c>
      <c r="E7" s="9">
        <v>350000</v>
      </c>
      <c r="F7" s="9"/>
      <c r="G7" s="9">
        <f>G6+E7</f>
        <v>74450000</v>
      </c>
    </row>
    <row r="8" spans="1:7" x14ac:dyDescent="0.25">
      <c r="A8" s="10">
        <v>46029</v>
      </c>
      <c r="B8" t="s">
        <v>97</v>
      </c>
      <c r="C8" t="s">
        <v>3</v>
      </c>
      <c r="D8" t="s">
        <v>80</v>
      </c>
      <c r="E8" s="9"/>
      <c r="F8" s="9">
        <v>1250000</v>
      </c>
      <c r="G8" s="9">
        <f>G7-F8</f>
        <v>73200000</v>
      </c>
    </row>
    <row r="9" spans="1:7" x14ac:dyDescent="0.25">
      <c r="A9" s="10">
        <v>46030</v>
      </c>
      <c r="B9" t="s">
        <v>100</v>
      </c>
      <c r="C9" t="s">
        <v>3</v>
      </c>
      <c r="D9" t="s">
        <v>139</v>
      </c>
      <c r="E9" s="9"/>
      <c r="F9" s="9">
        <v>650000</v>
      </c>
      <c r="G9" s="9">
        <f>G8-F9</f>
        <v>72550000</v>
      </c>
    </row>
    <row r="10" spans="1:7" x14ac:dyDescent="0.25">
      <c r="A10" s="10">
        <v>46031</v>
      </c>
      <c r="B10" t="s">
        <v>116</v>
      </c>
      <c r="C10" t="s">
        <v>3</v>
      </c>
      <c r="D10" t="s">
        <v>135</v>
      </c>
      <c r="E10" s="9">
        <v>3000000</v>
      </c>
      <c r="F10" s="9"/>
      <c r="G10" s="9">
        <f>G9+E10</f>
        <v>75550000</v>
      </c>
    </row>
    <row r="11" spans="1:7" x14ac:dyDescent="0.25">
      <c r="A11" s="10">
        <v>46032</v>
      </c>
      <c r="B11" t="s">
        <v>107</v>
      </c>
      <c r="C11" t="s">
        <v>3</v>
      </c>
      <c r="D11" t="s">
        <v>136</v>
      </c>
      <c r="E11" s="9"/>
      <c r="F11" s="9">
        <v>3800000</v>
      </c>
      <c r="G11" s="9">
        <f>G10-F11</f>
        <v>71750000</v>
      </c>
    </row>
    <row r="12" spans="1:7" x14ac:dyDescent="0.25">
      <c r="A12" s="10">
        <v>46033</v>
      </c>
      <c r="B12" t="s">
        <v>110</v>
      </c>
      <c r="C12" t="s">
        <v>3</v>
      </c>
      <c r="D12" t="s">
        <v>137</v>
      </c>
      <c r="E12" s="9"/>
      <c r="F12" s="9">
        <v>5500000</v>
      </c>
      <c r="G12" s="9">
        <f>G11-F12</f>
        <v>66250000</v>
      </c>
    </row>
    <row r="13" spans="1:7" x14ac:dyDescent="0.25">
      <c r="A13" s="10">
        <v>46034</v>
      </c>
      <c r="B13" t="s">
        <v>114</v>
      </c>
      <c r="C13" t="s">
        <v>3</v>
      </c>
      <c r="D13" t="s">
        <v>134</v>
      </c>
      <c r="E13" s="9">
        <v>210000</v>
      </c>
      <c r="F13" s="9"/>
      <c r="G13" s="9">
        <f>G12+E13</f>
        <v>66460000</v>
      </c>
    </row>
    <row r="14" spans="1:7" x14ac:dyDescent="0.25">
      <c r="A14" s="10">
        <v>46023</v>
      </c>
      <c r="B14" t="s">
        <v>130</v>
      </c>
      <c r="C14" t="s">
        <v>4</v>
      </c>
      <c r="D14" t="s">
        <v>132</v>
      </c>
      <c r="E14" s="9">
        <v>30000000</v>
      </c>
      <c r="F14" s="9"/>
      <c r="G14" s="19">
        <f>E14</f>
        <v>30000000</v>
      </c>
    </row>
    <row r="15" spans="1:7" x14ac:dyDescent="0.25">
      <c r="A15" s="10">
        <v>46025</v>
      </c>
      <c r="B15" t="s">
        <v>111</v>
      </c>
      <c r="C15" t="s">
        <v>4</v>
      </c>
      <c r="D15" t="s">
        <v>133</v>
      </c>
      <c r="E15" s="9">
        <v>5500000</v>
      </c>
      <c r="F15" s="9"/>
      <c r="G15" s="19">
        <f>G14+E15</f>
        <v>35500000</v>
      </c>
    </row>
    <row r="16" spans="1:7" x14ac:dyDescent="0.25">
      <c r="A16" s="10">
        <v>46026</v>
      </c>
      <c r="B16" t="s">
        <v>96</v>
      </c>
      <c r="C16" t="s">
        <v>4</v>
      </c>
      <c r="D16" t="s">
        <v>133</v>
      </c>
      <c r="E16" s="9">
        <v>900000</v>
      </c>
      <c r="F16" s="9"/>
      <c r="G16" s="19">
        <f>G15+E16</f>
        <v>36400000</v>
      </c>
    </row>
    <row r="17" spans="1:7" x14ac:dyDescent="0.25">
      <c r="A17" s="10">
        <v>46023</v>
      </c>
      <c r="B17" t="s">
        <v>130</v>
      </c>
      <c r="C17" t="s">
        <v>88</v>
      </c>
      <c r="D17" t="s">
        <v>132</v>
      </c>
      <c r="E17" s="9">
        <v>15000000</v>
      </c>
      <c r="F17" s="9"/>
      <c r="G17" s="19">
        <f>E17</f>
        <v>15000000</v>
      </c>
    </row>
    <row r="18" spans="1:7" x14ac:dyDescent="0.25">
      <c r="A18" s="10">
        <v>46032</v>
      </c>
      <c r="B18" t="s">
        <v>107</v>
      </c>
      <c r="C18" t="s">
        <v>88</v>
      </c>
      <c r="D18" t="s">
        <v>136</v>
      </c>
      <c r="E18" s="9">
        <v>3800000</v>
      </c>
      <c r="F18" s="9"/>
      <c r="G18" s="19">
        <f>G17+E18</f>
        <v>18800000</v>
      </c>
    </row>
    <row r="19" spans="1:7" x14ac:dyDescent="0.25">
      <c r="A19" s="10">
        <v>46027</v>
      </c>
      <c r="B19" t="s">
        <v>112</v>
      </c>
      <c r="C19" t="s">
        <v>84</v>
      </c>
      <c r="D19" t="s">
        <v>15</v>
      </c>
      <c r="E19" s="9">
        <v>3000000</v>
      </c>
      <c r="F19" s="9"/>
      <c r="G19" s="19">
        <f>E19</f>
        <v>3000000</v>
      </c>
    </row>
    <row r="20" spans="1:7" x14ac:dyDescent="0.25">
      <c r="A20" s="10">
        <v>46031</v>
      </c>
      <c r="B20" t="s">
        <v>116</v>
      </c>
      <c r="C20" t="s">
        <v>84</v>
      </c>
      <c r="D20" t="s">
        <v>135</v>
      </c>
      <c r="E20" s="9"/>
      <c r="F20" s="9">
        <v>3000000</v>
      </c>
      <c r="G20" s="19">
        <f>G19-F20</f>
        <v>0</v>
      </c>
    </row>
    <row r="21" spans="1:7" x14ac:dyDescent="0.25">
      <c r="A21" s="10">
        <v>46025</v>
      </c>
      <c r="B21" t="s">
        <v>111</v>
      </c>
      <c r="C21" t="s">
        <v>94</v>
      </c>
      <c r="D21" t="s">
        <v>133</v>
      </c>
      <c r="E21" s="9"/>
      <c r="F21" s="9">
        <v>5500000</v>
      </c>
      <c r="G21" s="19">
        <f>F21</f>
        <v>5500000</v>
      </c>
    </row>
    <row r="22" spans="1:7" x14ac:dyDescent="0.25">
      <c r="A22" s="10">
        <v>46023</v>
      </c>
      <c r="B22" t="s">
        <v>130</v>
      </c>
      <c r="C22" t="s">
        <v>138</v>
      </c>
      <c r="D22" t="s">
        <v>132</v>
      </c>
      <c r="E22" s="9"/>
      <c r="F22" s="9">
        <v>120000000</v>
      </c>
      <c r="G22" s="19">
        <f>F22</f>
        <v>120000000</v>
      </c>
    </row>
    <row r="23" spans="1:7" x14ac:dyDescent="0.25">
      <c r="A23" s="10">
        <v>46027</v>
      </c>
      <c r="B23" t="s">
        <v>112</v>
      </c>
      <c r="C23" t="s">
        <v>15</v>
      </c>
      <c r="D23" t="s">
        <v>15</v>
      </c>
      <c r="E23" s="9"/>
      <c r="F23" s="9">
        <v>3000000</v>
      </c>
      <c r="G23" s="9">
        <f>F23</f>
        <v>3000000</v>
      </c>
    </row>
    <row r="24" spans="1:7" x14ac:dyDescent="0.25">
      <c r="A24" s="10">
        <v>46028</v>
      </c>
      <c r="B24" t="s">
        <v>113</v>
      </c>
      <c r="C24" t="s">
        <v>15</v>
      </c>
      <c r="D24" t="s">
        <v>134</v>
      </c>
      <c r="E24" s="9"/>
      <c r="F24" s="9">
        <v>350000</v>
      </c>
      <c r="G24" s="9">
        <f>G23+F24</f>
        <v>3350000</v>
      </c>
    </row>
    <row r="25" spans="1:7" x14ac:dyDescent="0.25">
      <c r="A25" s="10">
        <v>46034</v>
      </c>
      <c r="B25" t="s">
        <v>114</v>
      </c>
      <c r="C25" t="s">
        <v>15</v>
      </c>
      <c r="D25" t="s">
        <v>134</v>
      </c>
      <c r="E25" s="9"/>
      <c r="F25" s="9">
        <v>210000</v>
      </c>
      <c r="G25" s="9">
        <f>G24+F25</f>
        <v>3560000</v>
      </c>
    </row>
    <row r="26" spans="1:7" x14ac:dyDescent="0.25">
      <c r="A26" s="10">
        <v>46029</v>
      </c>
      <c r="B26" t="s">
        <v>97</v>
      </c>
      <c r="C26" t="s">
        <v>47</v>
      </c>
      <c r="D26" t="s">
        <v>80</v>
      </c>
      <c r="E26" s="9">
        <v>1250000</v>
      </c>
      <c r="G26" s="9">
        <f>E26</f>
        <v>1250000</v>
      </c>
    </row>
    <row r="27" spans="1:7" x14ac:dyDescent="0.25">
      <c r="A27" s="10">
        <v>46030</v>
      </c>
      <c r="B27" t="s">
        <v>100</v>
      </c>
      <c r="C27" t="s">
        <v>121</v>
      </c>
      <c r="D27" t="s">
        <v>139</v>
      </c>
      <c r="E27" s="9">
        <v>650000</v>
      </c>
      <c r="G27" s="9">
        <f>E27</f>
        <v>650000</v>
      </c>
    </row>
    <row r="28" spans="1:7" x14ac:dyDescent="0.25">
      <c r="A28" s="10">
        <v>46033</v>
      </c>
      <c r="B28" t="s">
        <v>110</v>
      </c>
      <c r="C28" t="s">
        <v>17</v>
      </c>
      <c r="D28" t="s">
        <v>140</v>
      </c>
      <c r="E28" s="9">
        <v>5500000</v>
      </c>
      <c r="G28" s="19">
        <f>E28</f>
        <v>5500000</v>
      </c>
    </row>
  </sheetData>
  <mergeCells count="3">
    <mergeCell ref="A1:G1"/>
    <mergeCell ref="A2:G2"/>
    <mergeCell ref="A3:G3"/>
  </mergeCell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COA!$B$2:$B$13</xm:f>
          </x14:formula1>
          <xm:sqref>C4:C28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showGridLines="0" workbookViewId="0">
      <selection activeCell="I18" sqref="I18"/>
    </sheetView>
  </sheetViews>
  <sheetFormatPr defaultRowHeight="15" x14ac:dyDescent="0.25"/>
  <cols>
    <col min="1" max="1" width="11.7109375" bestFit="1" customWidth="1"/>
    <col min="2" max="3" width="19.42578125" bestFit="1" customWidth="1"/>
    <col min="4" max="5" width="12.5703125" bestFit="1" customWidth="1"/>
    <col min="7" max="7" width="12.5703125" bestFit="1" customWidth="1"/>
  </cols>
  <sheetData>
    <row r="1" spans="1:8" ht="23.25" x14ac:dyDescent="0.35">
      <c r="A1" s="75" t="s">
        <v>141</v>
      </c>
      <c r="B1" s="75"/>
      <c r="C1" s="75"/>
      <c r="D1" s="75"/>
      <c r="E1" s="75"/>
      <c r="F1" s="75"/>
      <c r="G1" s="75"/>
      <c r="H1" s="75"/>
    </row>
    <row r="2" spans="1:8" ht="21" x14ac:dyDescent="0.35">
      <c r="A2" s="76" t="s">
        <v>0</v>
      </c>
      <c r="B2" s="76"/>
      <c r="C2" s="76"/>
      <c r="D2" s="76"/>
      <c r="E2" s="76"/>
      <c r="F2" s="76"/>
      <c r="G2" s="76"/>
      <c r="H2" s="76"/>
    </row>
    <row r="3" spans="1:8" x14ac:dyDescent="0.25">
      <c r="A3" s="79" t="s">
        <v>142</v>
      </c>
      <c r="B3" s="79"/>
      <c r="C3" s="79"/>
      <c r="D3" s="79"/>
      <c r="E3" s="79"/>
      <c r="F3" s="79"/>
      <c r="G3" s="79"/>
      <c r="H3" s="79"/>
    </row>
    <row r="4" spans="1:8" x14ac:dyDescent="0.25">
      <c r="A4" s="21" t="s">
        <v>200</v>
      </c>
      <c r="C4" s="21" t="s">
        <v>6</v>
      </c>
      <c r="E4" s="21" t="s">
        <v>39</v>
      </c>
      <c r="G4" s="46" t="s">
        <v>40</v>
      </c>
    </row>
    <row r="5" spans="1:8" x14ac:dyDescent="0.25">
      <c r="A5" s="22">
        <v>1010</v>
      </c>
      <c r="C5" s="20" t="s">
        <v>3</v>
      </c>
      <c r="E5" s="23">
        <v>66460000</v>
      </c>
      <c r="G5" s="23"/>
    </row>
    <row r="6" spans="1:8" x14ac:dyDescent="0.25">
      <c r="A6" s="22">
        <v>1030</v>
      </c>
      <c r="C6" s="20" t="s">
        <v>10</v>
      </c>
      <c r="E6" s="23" t="s">
        <v>143</v>
      </c>
      <c r="G6" s="23"/>
    </row>
    <row r="7" spans="1:8" x14ac:dyDescent="0.25">
      <c r="A7" s="22">
        <v>1040</v>
      </c>
      <c r="C7" s="20" t="s">
        <v>4</v>
      </c>
      <c r="E7" s="23">
        <v>36400000</v>
      </c>
      <c r="G7" s="23"/>
    </row>
    <row r="8" spans="1:8" x14ac:dyDescent="0.25">
      <c r="A8" s="22">
        <v>1510</v>
      </c>
      <c r="C8" s="20" t="s">
        <v>88</v>
      </c>
      <c r="E8" s="23">
        <v>18800000</v>
      </c>
      <c r="G8" s="23"/>
    </row>
    <row r="9" spans="1:8" x14ac:dyDescent="0.25">
      <c r="A9" s="22">
        <v>2010</v>
      </c>
      <c r="C9" s="20" t="s">
        <v>12</v>
      </c>
      <c r="E9" s="23"/>
      <c r="G9" s="23">
        <v>5500000</v>
      </c>
    </row>
    <row r="10" spans="1:8" x14ac:dyDescent="0.25">
      <c r="A10" s="22">
        <v>3010</v>
      </c>
      <c r="C10" s="20" t="s">
        <v>124</v>
      </c>
      <c r="E10" s="23"/>
      <c r="G10" s="23">
        <v>120000000</v>
      </c>
    </row>
    <row r="11" spans="1:8" x14ac:dyDescent="0.25">
      <c r="A11" s="22">
        <v>4010</v>
      </c>
      <c r="C11" s="20" t="s">
        <v>81</v>
      </c>
      <c r="E11" s="23"/>
      <c r="G11" s="23">
        <v>3560000</v>
      </c>
    </row>
    <row r="12" spans="1:8" x14ac:dyDescent="0.25">
      <c r="A12" s="22">
        <v>5020</v>
      </c>
      <c r="C12" s="20" t="s">
        <v>17</v>
      </c>
      <c r="E12" s="23">
        <v>5500000</v>
      </c>
      <c r="G12" s="23"/>
    </row>
    <row r="13" spans="1:8" x14ac:dyDescent="0.25">
      <c r="A13" s="22">
        <v>5040</v>
      </c>
      <c r="C13" s="20" t="s">
        <v>47</v>
      </c>
      <c r="E13" s="23">
        <v>1250000</v>
      </c>
      <c r="G13" s="23"/>
    </row>
    <row r="14" spans="1:8" x14ac:dyDescent="0.25">
      <c r="A14" s="22">
        <v>5050</v>
      </c>
      <c r="C14" s="20" t="s">
        <v>121</v>
      </c>
      <c r="E14" s="23">
        <v>650000</v>
      </c>
      <c r="G14" s="23"/>
    </row>
    <row r="15" spans="1:8" x14ac:dyDescent="0.25">
      <c r="A15" s="20" t="s">
        <v>33</v>
      </c>
      <c r="B15" s="20"/>
      <c r="E15" s="23">
        <f>SUM(E5:E14)</f>
        <v>129060000</v>
      </c>
      <c r="G15" s="23">
        <f>SUM(G5:G14)</f>
        <v>129060000</v>
      </c>
    </row>
  </sheetData>
  <mergeCells count="3">
    <mergeCell ref="A1:H1"/>
    <mergeCell ref="A2:H2"/>
    <mergeCell ref="A3:H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showGridLines="0" workbookViewId="0">
      <selection activeCell="J8" sqref="J8"/>
    </sheetView>
  </sheetViews>
  <sheetFormatPr defaultRowHeight="15" x14ac:dyDescent="0.25"/>
  <cols>
    <col min="1" max="1" width="11.42578125" customWidth="1"/>
    <col min="2" max="2" width="28.7109375" bestFit="1" customWidth="1"/>
    <col min="7" max="7" width="13.85546875" bestFit="1" customWidth="1"/>
  </cols>
  <sheetData>
    <row r="1" spans="1:8" ht="23.25" x14ac:dyDescent="0.35">
      <c r="A1" s="80" t="s">
        <v>0</v>
      </c>
      <c r="B1" s="80"/>
      <c r="C1" s="80"/>
      <c r="D1" s="80"/>
      <c r="E1" s="80"/>
      <c r="F1" s="80"/>
      <c r="G1" s="80"/>
      <c r="H1" s="80"/>
    </row>
    <row r="2" spans="1:8" ht="21" x14ac:dyDescent="0.35">
      <c r="A2" s="81" t="s">
        <v>146</v>
      </c>
      <c r="B2" s="81"/>
      <c r="C2" s="81"/>
      <c r="D2" s="81"/>
      <c r="E2" s="81"/>
      <c r="F2" s="81"/>
      <c r="G2" s="81"/>
      <c r="H2" s="81"/>
    </row>
    <row r="3" spans="1:8" x14ac:dyDescent="0.25">
      <c r="A3" s="82" t="s">
        <v>147</v>
      </c>
      <c r="B3" s="82"/>
      <c r="C3" s="82"/>
      <c r="D3" s="82"/>
      <c r="E3" s="82"/>
      <c r="F3" s="82"/>
      <c r="G3" s="82"/>
      <c r="H3" s="82"/>
    </row>
    <row r="4" spans="1:8" x14ac:dyDescent="0.25">
      <c r="B4" s="13" t="s">
        <v>1</v>
      </c>
    </row>
    <row r="5" spans="1:8" x14ac:dyDescent="0.25">
      <c r="B5" t="s">
        <v>81</v>
      </c>
      <c r="G5" s="13" t="s">
        <v>144</v>
      </c>
    </row>
    <row r="6" spans="1:8" x14ac:dyDescent="0.25">
      <c r="B6" t="s">
        <v>145</v>
      </c>
      <c r="G6" s="9">
        <v>3560000</v>
      </c>
    </row>
    <row r="7" spans="1:8" x14ac:dyDescent="0.25">
      <c r="G7" s="9">
        <f>G6</f>
        <v>3560000</v>
      </c>
    </row>
    <row r="8" spans="1:8" x14ac:dyDescent="0.25">
      <c r="B8" s="13" t="s">
        <v>148</v>
      </c>
      <c r="G8" s="9"/>
    </row>
    <row r="9" spans="1:8" x14ac:dyDescent="0.25">
      <c r="B9" s="13" t="s">
        <v>149</v>
      </c>
      <c r="G9" s="9"/>
    </row>
    <row r="10" spans="1:8" x14ac:dyDescent="0.25">
      <c r="B10" t="s">
        <v>17</v>
      </c>
      <c r="G10" s="24" t="s">
        <v>144</v>
      </c>
    </row>
    <row r="11" spans="1:8" x14ac:dyDescent="0.25">
      <c r="B11" t="s">
        <v>47</v>
      </c>
      <c r="G11" s="9">
        <v>5500000</v>
      </c>
    </row>
    <row r="12" spans="1:8" x14ac:dyDescent="0.25">
      <c r="B12" t="s">
        <v>121</v>
      </c>
      <c r="G12" s="9">
        <v>1250000</v>
      </c>
    </row>
    <row r="13" spans="1:8" x14ac:dyDescent="0.25">
      <c r="B13" t="s">
        <v>150</v>
      </c>
      <c r="G13" s="9">
        <v>650000</v>
      </c>
    </row>
    <row r="14" spans="1:8" x14ac:dyDescent="0.25">
      <c r="G14" s="9">
        <f>SUM(G11:G13)</f>
        <v>7400000</v>
      </c>
    </row>
    <row r="15" spans="1:8" x14ac:dyDescent="0.25">
      <c r="B15" s="13" t="s">
        <v>151</v>
      </c>
      <c r="G15" s="9"/>
    </row>
    <row r="17" spans="2:7" x14ac:dyDescent="0.25">
      <c r="B17" t="s">
        <v>145</v>
      </c>
      <c r="G17" s="13" t="s">
        <v>144</v>
      </c>
    </row>
    <row r="18" spans="2:7" x14ac:dyDescent="0.25">
      <c r="B18" t="s">
        <v>152</v>
      </c>
      <c r="G18" s="19">
        <f>G7</f>
        <v>3560000</v>
      </c>
    </row>
    <row r="19" spans="2:7" x14ac:dyDescent="0.25">
      <c r="B19" s="13" t="s">
        <v>153</v>
      </c>
      <c r="G19" s="19">
        <f>G7-G14</f>
        <v>-3840000</v>
      </c>
    </row>
    <row r="20" spans="2:7" x14ac:dyDescent="0.25">
      <c r="G20" s="25">
        <f>G19</f>
        <v>-3840000</v>
      </c>
    </row>
  </sheetData>
  <mergeCells count="3">
    <mergeCell ref="A1:H1"/>
    <mergeCell ref="A2:H2"/>
    <mergeCell ref="A3:H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workbookViewId="0">
      <selection activeCell="G7" sqref="G7"/>
    </sheetView>
  </sheetViews>
  <sheetFormatPr defaultRowHeight="15" x14ac:dyDescent="0.25"/>
  <cols>
    <col min="1" max="1" width="12.85546875" customWidth="1"/>
    <col min="2" max="2" width="23.5703125" bestFit="1" customWidth="1"/>
    <col min="7" max="7" width="13.85546875" bestFit="1" customWidth="1"/>
  </cols>
  <sheetData>
    <row r="1" spans="1:8" ht="23.25" x14ac:dyDescent="0.35">
      <c r="A1" s="83" t="s">
        <v>0</v>
      </c>
      <c r="B1" s="83"/>
      <c r="C1" s="83"/>
      <c r="D1" s="83"/>
      <c r="E1" s="83"/>
      <c r="F1" s="83"/>
      <c r="G1" s="83"/>
      <c r="H1" s="83"/>
    </row>
    <row r="2" spans="1:8" ht="21" x14ac:dyDescent="0.35">
      <c r="A2" s="81" t="s">
        <v>154</v>
      </c>
      <c r="B2" s="81"/>
      <c r="C2" s="81"/>
      <c r="D2" s="81"/>
      <c r="E2" s="81"/>
      <c r="F2" s="81"/>
      <c r="G2" s="81"/>
      <c r="H2" s="81"/>
    </row>
    <row r="3" spans="1:8" x14ac:dyDescent="0.25">
      <c r="A3" s="82" t="s">
        <v>142</v>
      </c>
      <c r="B3" s="82"/>
      <c r="C3" s="82"/>
      <c r="D3" s="82"/>
      <c r="E3" s="82"/>
      <c r="F3" s="82"/>
      <c r="G3" s="82"/>
      <c r="H3" s="82"/>
    </row>
    <row r="4" spans="1:8" x14ac:dyDescent="0.25">
      <c r="B4" s="13" t="s">
        <v>155</v>
      </c>
    </row>
    <row r="5" spans="1:8" x14ac:dyDescent="0.25">
      <c r="B5" s="13" t="s">
        <v>156</v>
      </c>
      <c r="G5" s="13" t="s">
        <v>144</v>
      </c>
    </row>
    <row r="6" spans="1:8" x14ac:dyDescent="0.25">
      <c r="B6" s="13" t="s">
        <v>6</v>
      </c>
      <c r="G6" s="9">
        <v>66460000</v>
      </c>
    </row>
    <row r="7" spans="1:8" x14ac:dyDescent="0.25">
      <c r="B7" t="s">
        <v>3</v>
      </c>
      <c r="G7" s="9">
        <v>0</v>
      </c>
    </row>
    <row r="8" spans="1:8" x14ac:dyDescent="0.25">
      <c r="B8" t="s">
        <v>10</v>
      </c>
      <c r="G8" s="9">
        <v>36400000</v>
      </c>
    </row>
    <row r="9" spans="1:8" x14ac:dyDescent="0.25">
      <c r="B9" t="s">
        <v>4</v>
      </c>
      <c r="G9" s="9">
        <f>SUM(G6:G8)</f>
        <v>102860000</v>
      </c>
    </row>
    <row r="10" spans="1:8" x14ac:dyDescent="0.25">
      <c r="B10" t="s">
        <v>157</v>
      </c>
      <c r="G10" s="9"/>
    </row>
    <row r="11" spans="1:8" x14ac:dyDescent="0.25">
      <c r="G11" s="9"/>
    </row>
    <row r="12" spans="1:8" x14ac:dyDescent="0.25">
      <c r="B12" s="13" t="s">
        <v>158</v>
      </c>
      <c r="G12" s="24" t="s">
        <v>144</v>
      </c>
    </row>
    <row r="13" spans="1:8" x14ac:dyDescent="0.25">
      <c r="B13" s="13" t="s">
        <v>6</v>
      </c>
      <c r="G13" s="9">
        <v>18800000</v>
      </c>
    </row>
    <row r="14" spans="1:8" x14ac:dyDescent="0.25">
      <c r="B14" t="s">
        <v>88</v>
      </c>
      <c r="G14" s="9">
        <f>G13</f>
        <v>18800000</v>
      </c>
    </row>
    <row r="15" spans="1:8" x14ac:dyDescent="0.25">
      <c r="B15" t="s">
        <v>159</v>
      </c>
      <c r="G15" s="9"/>
    </row>
    <row r="16" spans="1:8" x14ac:dyDescent="0.25">
      <c r="G16" s="25">
        <f>G9+G14</f>
        <v>121660000</v>
      </c>
    </row>
    <row r="17" spans="2:7" x14ac:dyDescent="0.25">
      <c r="B17" s="13" t="s">
        <v>160</v>
      </c>
      <c r="G17" s="9"/>
    </row>
    <row r="19" spans="2:7" x14ac:dyDescent="0.25">
      <c r="B19" s="13" t="s">
        <v>161</v>
      </c>
      <c r="G19" s="13"/>
    </row>
    <row r="20" spans="2:7" x14ac:dyDescent="0.25">
      <c r="B20" s="13" t="s">
        <v>162</v>
      </c>
      <c r="G20" s="13" t="s">
        <v>144</v>
      </c>
    </row>
    <row r="21" spans="2:7" x14ac:dyDescent="0.25">
      <c r="B21" s="13" t="s">
        <v>6</v>
      </c>
      <c r="G21" s="9">
        <v>5500000</v>
      </c>
    </row>
    <row r="22" spans="2:7" x14ac:dyDescent="0.25">
      <c r="B22" t="s">
        <v>12</v>
      </c>
      <c r="G22" s="24">
        <f>G21</f>
        <v>5500000</v>
      </c>
    </row>
    <row r="23" spans="2:7" x14ac:dyDescent="0.25">
      <c r="B23" s="13" t="s">
        <v>163</v>
      </c>
      <c r="G23" s="9"/>
    </row>
    <row r="24" spans="2:7" x14ac:dyDescent="0.25">
      <c r="G24" s="9"/>
    </row>
    <row r="25" spans="2:7" x14ac:dyDescent="0.25">
      <c r="B25" s="13" t="s">
        <v>164</v>
      </c>
      <c r="G25" s="24" t="s">
        <v>144</v>
      </c>
    </row>
    <row r="26" spans="2:7" x14ac:dyDescent="0.25">
      <c r="B26" s="13" t="s">
        <v>6</v>
      </c>
      <c r="G26" s="9">
        <v>120000000</v>
      </c>
    </row>
    <row r="27" spans="2:7" x14ac:dyDescent="0.25">
      <c r="B27" t="s">
        <v>124</v>
      </c>
      <c r="G27" s="9">
        <v>-3840000</v>
      </c>
    </row>
    <row r="28" spans="2:7" x14ac:dyDescent="0.25">
      <c r="B28" t="s">
        <v>165</v>
      </c>
      <c r="G28" s="24">
        <f>G26+G27</f>
        <v>116160000</v>
      </c>
    </row>
    <row r="29" spans="2:7" x14ac:dyDescent="0.25">
      <c r="B29" s="13" t="s">
        <v>166</v>
      </c>
    </row>
    <row r="30" spans="2:7" x14ac:dyDescent="0.25">
      <c r="B30" s="9"/>
    </row>
  </sheetData>
  <mergeCells count="3">
    <mergeCell ref="A1:H1"/>
    <mergeCell ref="A2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Dashboard</vt:lpstr>
      <vt:lpstr>Read Me</vt:lpstr>
      <vt:lpstr>Dashboard_data</vt:lpstr>
      <vt:lpstr>Opening Balance</vt:lpstr>
      <vt:lpstr>COA</vt:lpstr>
      <vt:lpstr>Customers</vt:lpstr>
      <vt:lpstr>Suppliers</vt:lpstr>
      <vt:lpstr>Inventory</vt:lpstr>
      <vt:lpstr>Sales</vt:lpstr>
      <vt:lpstr>Purchases</vt:lpstr>
      <vt:lpstr>Cash Receipt</vt:lpstr>
      <vt:lpstr>Cash Payment</vt:lpstr>
      <vt:lpstr>General Journal</vt:lpstr>
      <vt:lpstr>General Ledger</vt:lpstr>
      <vt:lpstr>Trial Balance</vt:lpstr>
      <vt:lpstr>Income Statement</vt:lpstr>
      <vt:lpstr>Balance Sheet</vt:lpstr>
      <vt:lpstr>Customer_List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 Wahyuni</cp:lastModifiedBy>
  <dcterms:created xsi:type="dcterms:W3CDTF">2026-06-30T06:56:06Z</dcterms:created>
  <dcterms:modified xsi:type="dcterms:W3CDTF">2026-07-06T08:20:35Z</dcterms:modified>
</cp:coreProperties>
</file>