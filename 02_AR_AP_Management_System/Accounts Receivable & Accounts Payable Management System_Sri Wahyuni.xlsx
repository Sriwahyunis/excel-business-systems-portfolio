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16275" windowHeight="7755" activeTab="1"/>
  </bookViews>
  <sheets>
    <sheet name="Read Me" sheetId="1" r:id="rId1"/>
    <sheet name="Dashboard" sheetId="2" r:id="rId2"/>
    <sheet name="Master Item" sheetId="12" r:id="rId3"/>
    <sheet name="Customers" sheetId="3" r:id="rId4"/>
    <sheet name="Suppliers" sheetId="4" r:id="rId5"/>
    <sheet name="Sales Invoice (AR)" sheetId="5" r:id="rId6"/>
    <sheet name="Customer Payment" sheetId="6" r:id="rId7"/>
    <sheet name="Purchase Invoice (AP)" sheetId="7" r:id="rId8"/>
    <sheet name="Supplier Payment" sheetId="8" r:id="rId9"/>
    <sheet name="AR Aging" sheetId="9" r:id="rId10"/>
    <sheet name="AP Aging" sheetId="10" r:id="rId11"/>
    <sheet name="Summary" sheetId="11" r:id="rId12"/>
    <sheet name="Setting" sheetId="13" r:id="rId13"/>
  </sheets>
  <definedNames>
    <definedName name="Customer_ID" localSheetId="3">tblCustomers</definedName>
    <definedName name="Slicer_Customer">#N/A</definedName>
    <definedName name="Slicer_Supplier">#N/A</definedName>
    <definedName name="Supplier_Name">tblSuppliers[[#All],[Supplier Name]]</definedName>
  </definedNames>
  <calcPr calcId="144525"/>
  <pivotCaches>
    <pivotCache cacheId="4" r:id="rId14"/>
    <pivotCache cacheId="5" r:id="rId15"/>
    <pivotCache cacheId="6" r:id="rId16"/>
    <pivotCache cacheId="7"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4" i="9" l="1"/>
  <c r="C14" i="9"/>
  <c r="C6" i="10"/>
  <c r="C7" i="10"/>
  <c r="C8" i="10"/>
  <c r="C9" i="10"/>
  <c r="B6" i="10"/>
  <c r="B7" i="10"/>
  <c r="B8" i="10"/>
  <c r="B9" i="10"/>
  <c r="C7" i="9"/>
  <c r="C8" i="9"/>
  <c r="C9" i="9"/>
  <c r="C10" i="9"/>
  <c r="C11" i="9"/>
  <c r="C12" i="9"/>
  <c r="C13" i="9"/>
  <c r="B13" i="9"/>
  <c r="B8" i="9"/>
  <c r="B9" i="9"/>
  <c r="B10" i="9"/>
  <c r="B11" i="9"/>
  <c r="B12" i="9"/>
  <c r="B7" i="9"/>
  <c r="D3" i="6"/>
  <c r="D4" i="6"/>
  <c r="D5" i="6"/>
  <c r="J4" i="7" l="1"/>
  <c r="J5" i="7"/>
  <c r="J6" i="7"/>
  <c r="J3" i="7"/>
  <c r="K6" i="7"/>
  <c r="E9" i="10" s="1"/>
  <c r="K4" i="7"/>
  <c r="E7" i="10" s="1"/>
  <c r="G7" i="10" s="1"/>
  <c r="E4" i="8"/>
  <c r="E3" i="8"/>
  <c r="D4" i="8"/>
  <c r="D5" i="8"/>
  <c r="D6" i="8"/>
  <c r="D7" i="8"/>
  <c r="D3" i="8"/>
  <c r="H3" i="7"/>
  <c r="I3" i="7" s="1"/>
  <c r="K3" i="7" s="1"/>
  <c r="H4" i="7"/>
  <c r="I4" i="7" s="1"/>
  <c r="H5" i="7"/>
  <c r="I5" i="7" s="1"/>
  <c r="K5" i="7" s="1"/>
  <c r="H6" i="7"/>
  <c r="I6" i="7" s="1"/>
  <c r="D4" i="7"/>
  <c r="E4" i="7" s="1"/>
  <c r="D7" i="10" s="1"/>
  <c r="F7" i="10" s="1"/>
  <c r="D5" i="7"/>
  <c r="E5" i="7" s="1"/>
  <c r="D8" i="10" s="1"/>
  <c r="F8" i="10" s="1"/>
  <c r="D6" i="7"/>
  <c r="E6" i="7" s="1"/>
  <c r="D9" i="10" s="1"/>
  <c r="F9" i="10" s="1"/>
  <c r="G9" i="10" s="1"/>
  <c r="D3" i="7"/>
  <c r="E3" i="7" s="1"/>
  <c r="D6" i="10" s="1"/>
  <c r="F6" i="10" s="1"/>
  <c r="G4" i="5"/>
  <c r="H4" i="5" s="1"/>
  <c r="G5" i="5"/>
  <c r="H5" i="5" s="1"/>
  <c r="G6" i="5"/>
  <c r="H6" i="5" s="1"/>
  <c r="G7" i="5"/>
  <c r="H7" i="5" s="1"/>
  <c r="G8" i="5"/>
  <c r="H8" i="5" s="1"/>
  <c r="G9" i="5"/>
  <c r="H9" i="5" s="1"/>
  <c r="G10" i="5"/>
  <c r="H10" i="5" s="1"/>
  <c r="G3" i="5"/>
  <c r="H3" i="5" s="1"/>
  <c r="D3" i="5"/>
  <c r="E3" i="5" s="1"/>
  <c r="D7" i="9" s="1"/>
  <c r="E7" i="9" s="1"/>
  <c r="G7" i="9" s="1"/>
  <c r="D4" i="5"/>
  <c r="E4" i="5" s="1"/>
  <c r="D8" i="9" s="1"/>
  <c r="E8" i="9" s="1"/>
  <c r="G8" i="9" s="1"/>
  <c r="D5" i="5"/>
  <c r="E5" i="5" s="1"/>
  <c r="D9" i="9" s="1"/>
  <c r="E9" i="9" s="1"/>
  <c r="G9" i="9" s="1"/>
  <c r="D6" i="5"/>
  <c r="E6" i="5" s="1"/>
  <c r="D10" i="9" s="1"/>
  <c r="E10" i="9" s="1"/>
  <c r="G10" i="9" s="1"/>
  <c r="D7" i="5"/>
  <c r="E7" i="5" s="1"/>
  <c r="D11" i="9" s="1"/>
  <c r="E11" i="9" s="1"/>
  <c r="G11" i="9" s="1"/>
  <c r="D8" i="5"/>
  <c r="E8" i="5" s="1"/>
  <c r="D12" i="9" s="1"/>
  <c r="E12" i="9" s="1"/>
  <c r="G12" i="9" s="1"/>
  <c r="D9" i="5"/>
  <c r="E9" i="5" s="1"/>
  <c r="D13" i="9" s="1"/>
  <c r="E13" i="9" s="1"/>
  <c r="G13" i="9" s="1"/>
  <c r="D10" i="5"/>
  <c r="E10" i="5" s="1"/>
  <c r="D14" i="9" s="1"/>
  <c r="E14" i="9" s="1"/>
  <c r="G14" i="9" s="1"/>
  <c r="D7" i="2"/>
  <c r="B7" i="2"/>
  <c r="E7" i="2"/>
  <c r="C7" i="2"/>
  <c r="E8" i="10" l="1"/>
  <c r="G8" i="10" s="1"/>
  <c r="L5" i="7"/>
  <c r="H8" i="10" s="1"/>
  <c r="E6" i="10"/>
  <c r="G6" i="10" s="1"/>
  <c r="L3" i="7"/>
  <c r="H6" i="10" s="1"/>
  <c r="E6" i="8"/>
  <c r="L6" i="7"/>
  <c r="H9" i="10" s="1"/>
  <c r="L4" i="7"/>
  <c r="H7" i="10" s="1"/>
  <c r="E7" i="8"/>
  <c r="E5" i="8"/>
  <c r="I4" i="5"/>
  <c r="H8" i="9" s="1"/>
  <c r="F8" i="9"/>
  <c r="I10" i="5"/>
  <c r="H14" i="9" s="1"/>
  <c r="F14" i="9"/>
  <c r="I8" i="5"/>
  <c r="H12" i="9" s="1"/>
  <c r="F12" i="9"/>
  <c r="I6" i="5"/>
  <c r="H10" i="9" s="1"/>
  <c r="F10" i="9"/>
  <c r="I3" i="5"/>
  <c r="H7" i="9" s="1"/>
  <c r="F7" i="9"/>
  <c r="I9" i="5"/>
  <c r="H13" i="9" s="1"/>
  <c r="F13" i="9"/>
  <c r="I7" i="5"/>
  <c r="H11" i="9" s="1"/>
  <c r="F11" i="9"/>
  <c r="I5" i="5"/>
  <c r="H9" i="9" s="1"/>
  <c r="F9" i="9"/>
</calcChain>
</file>

<file path=xl/sharedStrings.xml><?xml version="1.0" encoding="utf-8"?>
<sst xmlns="http://schemas.openxmlformats.org/spreadsheetml/2006/main" count="287" uniqueCount="183">
  <si>
    <t>Customer ID</t>
  </si>
  <si>
    <t>Customer Name</t>
  </si>
  <si>
    <t>Credit Term</t>
  </si>
  <si>
    <t>C001</t>
  </si>
  <si>
    <t>PT Maju Bersama</t>
  </si>
  <si>
    <t>C002</t>
  </si>
  <si>
    <t>PT Sentosa Abadi</t>
  </si>
  <si>
    <t>C003</t>
  </si>
  <si>
    <t>PT Global Stationery</t>
  </si>
  <si>
    <t>C004</t>
  </si>
  <si>
    <t>CV Sumber Jaya</t>
  </si>
  <si>
    <t>C005</t>
  </si>
  <si>
    <t>PT Prima Office</t>
  </si>
  <si>
    <t>Supplier ID</t>
  </si>
  <si>
    <t>Supplier Name</t>
  </si>
  <si>
    <t>Payment Term</t>
  </si>
  <si>
    <t>S001</t>
  </si>
  <si>
    <t>PT Kertas Indonesia</t>
  </si>
  <si>
    <t>S002</t>
  </si>
  <si>
    <t>PT Pena Nusantara</t>
  </si>
  <si>
    <t>S003</t>
  </si>
  <si>
    <t>PT Office Supply</t>
  </si>
  <si>
    <t>Invoice</t>
  </si>
  <si>
    <t>Date</t>
  </si>
  <si>
    <t>Customer</t>
  </si>
  <si>
    <t>Due Date</t>
  </si>
  <si>
    <t>Amount</t>
  </si>
  <si>
    <t>Status</t>
  </si>
  <si>
    <t>AR001</t>
  </si>
  <si>
    <t>Open</t>
  </si>
  <si>
    <t>AR002</t>
  </si>
  <si>
    <t>Paid</t>
  </si>
  <si>
    <t>AR003</t>
  </si>
  <si>
    <t>AR004</t>
  </si>
  <si>
    <t>Partial</t>
  </si>
  <si>
    <t>AR005</t>
  </si>
  <si>
    <t>AR006</t>
  </si>
  <si>
    <t>AR007</t>
  </si>
  <si>
    <t>AR008</t>
  </si>
  <si>
    <t>Receipt</t>
  </si>
  <si>
    <t>RC001</t>
  </si>
  <si>
    <t>RC002</t>
  </si>
  <si>
    <t>RC003</t>
  </si>
  <si>
    <t>Supplier</t>
  </si>
  <si>
    <t>AP001</t>
  </si>
  <si>
    <t>AP002</t>
  </si>
  <si>
    <t>AP003</t>
  </si>
  <si>
    <t>AP004</t>
  </si>
  <si>
    <t>PAY001</t>
  </si>
  <si>
    <t>PAY002</t>
  </si>
  <si>
    <t>KPI</t>
  </si>
  <si>
    <t>Outstanding</t>
  </si>
  <si>
    <t>Company</t>
  </si>
  <si>
    <t>PT Nusantara Office Supplies</t>
  </si>
  <si>
    <t>Objective</t>
  </si>
  <si>
    <t>Features</t>
  </si>
  <si>
    <t>✅ Customer Master</t>
  </si>
  <si>
    <t>✅ Supplier Master</t>
  </si>
  <si>
    <t>✅ Sales Invoice</t>
  </si>
  <si>
    <t>✅ Customer Payment</t>
  </si>
  <si>
    <t>✅ Purchase Invoice</t>
  </si>
  <si>
    <t>✅ Supplier Payment</t>
  </si>
  <si>
    <t>✅ AR Aging Report</t>
  </si>
  <si>
    <t>✅ AP Aging Report</t>
  </si>
  <si>
    <t>✅ Dashboard</t>
  </si>
  <si>
    <t>Excel Skills</t>
  </si>
  <si>
    <t>SUMIFS</t>
  </si>
  <si>
    <t>IF</t>
  </si>
  <si>
    <t>TODAY</t>
  </si>
  <si>
    <t>VLOOKUP/XLOOKUP</t>
  </si>
  <si>
    <t>Data Validation</t>
  </si>
  <si>
    <t>Conditional Formatting</t>
  </si>
  <si>
    <t>Charts</t>
  </si>
  <si>
    <t>City</t>
  </si>
  <si>
    <t>Jakarta</t>
  </si>
  <si>
    <t>Bandung</t>
  </si>
  <si>
    <t>Surabaya</t>
  </si>
  <si>
    <t>Semarang</t>
  </si>
  <si>
    <t>Medan</t>
  </si>
  <si>
    <t>-</t>
  </si>
  <si>
    <t>Payment Received</t>
  </si>
  <si>
    <t>Payment Made</t>
  </si>
  <si>
    <t>Item</t>
  </si>
  <si>
    <t>Item Code</t>
  </si>
  <si>
    <t>Item Name</t>
  </si>
  <si>
    <t>Unit Cost</t>
  </si>
  <si>
    <t>Selling Price</t>
  </si>
  <si>
    <t>Opening Stock</t>
  </si>
  <si>
    <t>P001</t>
  </si>
  <si>
    <t>A4 Paper</t>
  </si>
  <si>
    <t>P002</t>
  </si>
  <si>
    <t>Ballpoint Pen</t>
  </si>
  <si>
    <t>P003</t>
  </si>
  <si>
    <t>Stapler</t>
  </si>
  <si>
    <t>P004</t>
  </si>
  <si>
    <t>Notebook A5</t>
  </si>
  <si>
    <t>P005</t>
  </si>
  <si>
    <t>Printer Ink</t>
  </si>
  <si>
    <t>Qty</t>
  </si>
  <si>
    <t>Total</t>
  </si>
  <si>
    <t>Payment No</t>
  </si>
  <si>
    <t>Payment Date</t>
  </si>
  <si>
    <t>Amount Paid</t>
  </si>
  <si>
    <t>Payment Method</t>
  </si>
  <si>
    <t>Reference</t>
  </si>
  <si>
    <t>Bank Transfer</t>
  </si>
  <si>
    <t>TRF-001</t>
  </si>
  <si>
    <t>TRF-002</t>
  </si>
  <si>
    <t>PAY003</t>
  </si>
  <si>
    <t>TRF-003</t>
  </si>
  <si>
    <t>PAY004</t>
  </si>
  <si>
    <t>TRF-004</t>
  </si>
  <si>
    <t>PAY005</t>
  </si>
  <si>
    <t>Cash</t>
  </si>
  <si>
    <t>CASH-001</t>
  </si>
  <si>
    <t>Invoice Total</t>
  </si>
  <si>
    <t>Keterangan</t>
  </si>
  <si>
    <t>Total Sales</t>
  </si>
  <si>
    <t>Total penjualan</t>
  </si>
  <si>
    <t>Total Purchases</t>
  </si>
  <si>
    <t>Total pembelian</t>
  </si>
  <si>
    <t>Outstanding AR</t>
  </si>
  <si>
    <t>Total piutang</t>
  </si>
  <si>
    <t>Outstanding AP</t>
  </si>
  <si>
    <t>Total utang</t>
  </si>
  <si>
    <t>Inventory Value</t>
  </si>
  <si>
    <t>Nilai persediaan</t>
  </si>
  <si>
    <t>Top Customer</t>
  </si>
  <si>
    <t>Customer dengan pembelian terbesar</t>
  </si>
  <si>
    <t>Top Supplier</t>
  </si>
  <si>
    <t>Supplier dengan pembelian terbesar</t>
  </si>
  <si>
    <t>Invoice Date</t>
  </si>
  <si>
    <t>Days Overdue</t>
  </si>
  <si>
    <t>Aging Category</t>
  </si>
  <si>
    <t>Parameter</t>
  </si>
  <si>
    <t>Value</t>
  </si>
  <si>
    <t>Report Date</t>
  </si>
  <si>
    <t>Grand Total</t>
  </si>
  <si>
    <t>Sum of Amount</t>
  </si>
  <si>
    <t>Sum of Total</t>
  </si>
  <si>
    <t>Sum of Outstanding</t>
  </si>
  <si>
    <t>Count of Invoice</t>
  </si>
  <si>
    <t>Count of Date</t>
  </si>
  <si>
    <t>Sales per Customer</t>
  </si>
  <si>
    <t>AR Status</t>
  </si>
  <si>
    <t>Purchase per Supplier</t>
  </si>
  <si>
    <t>AP Status</t>
  </si>
  <si>
    <t>Total Purchase</t>
  </si>
  <si>
    <t>Outsanding AP</t>
  </si>
  <si>
    <t>Prepared By</t>
  </si>
  <si>
    <t>Sri Wahyuni</t>
  </si>
  <si>
    <t>Accounting Portfolio</t>
  </si>
  <si>
    <t>Microsoft Excel</t>
  </si>
  <si>
    <t>Accounts Receivable &amp; Accounts Payable Management System</t>
  </si>
  <si>
    <t>Developed an Accounts Receivable (AR) and Accounts Payable (AP) Management System in Microsoft Excel to monitor invoices, customer payments, supplier payments, outstanding balances, and financial performance through an interactive dashboard.</t>
  </si>
  <si>
    <t xml:space="preserve">                      ACCOUNTS RECEIVABLE AGING REPORT</t>
  </si>
  <si>
    <t xml:space="preserve">                      PT Nusantara Office Supplies</t>
  </si>
  <si>
    <t xml:space="preserve">                          As of: 31 December 2026</t>
  </si>
  <si>
    <t>Total Outstanding : Rp31,400,000</t>
  </si>
  <si>
    <t xml:space="preserve"> Paymnet Date</t>
  </si>
  <si>
    <t>Suplier</t>
  </si>
  <si>
    <t>Row Labels</t>
  </si>
  <si>
    <t>&gt;60 Days</t>
  </si>
  <si>
    <t>Over 90 Days</t>
  </si>
  <si>
    <t>AR Aging</t>
  </si>
  <si>
    <t>AP Aging</t>
  </si>
  <si>
    <t>Project Information</t>
  </si>
  <si>
    <t>Period</t>
  </si>
  <si>
    <t>Accounting Basis</t>
  </si>
  <si>
    <t>Accrual Basis</t>
  </si>
  <si>
    <t>Currency</t>
  </si>
  <si>
    <t>Indonesian Rupiah (IDR)</t>
  </si>
  <si>
    <t>Software</t>
  </si>
  <si>
    <t>Account Receivable &amp; Account Payable Management System</t>
  </si>
  <si>
    <t>PT Nusantara Office Supplies (Fictional)</t>
  </si>
  <si>
    <t>ACCOUNTS PAYABLE AGING REPORT</t>
  </si>
  <si>
    <t xml:space="preserve"> PT Nusantara Office Supplies</t>
  </si>
  <si>
    <t>As of: 31 December 2026</t>
  </si>
  <si>
    <t>Sales Invoice</t>
  </si>
  <si>
    <t>Customer Payment</t>
  </si>
  <si>
    <t>Purchase Inventory</t>
  </si>
  <si>
    <t>Supplier Payment</t>
  </si>
  <si>
    <t>Microsoft Excel Portofolio Project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</si>
</sst>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_-[$Rp-421]* #,##0_-;\-[$Rp-421]* #,##0_-;_-[$Rp-421]* &quot;-&quot;_-;_-@_-"/>
    <numFmt numFmtId="166" formatCode="[$-409]d\-mmm\-yy;@"/>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
      <b/>
      <sz val="11"/>
      <color theme="0"/>
      <name val="Calibri"/>
      <family val="2"/>
      <scheme val="minor"/>
    </font>
    <font>
      <b/>
      <sz val="18"/>
      <color theme="0"/>
      <name val="Calibri"/>
      <family val="2"/>
      <scheme val="minor"/>
    </font>
    <font>
      <sz val="12"/>
      <color theme="1"/>
      <name val="Calibri"/>
      <family val="2"/>
      <scheme val="minor"/>
    </font>
    <font>
      <i/>
      <sz val="11"/>
      <color theme="1"/>
      <name val="Calibri"/>
      <family val="2"/>
      <scheme val="minor"/>
    </font>
    <font>
      <b/>
      <sz val="14"/>
      <color theme="0"/>
      <name val="Calibri"/>
      <family val="2"/>
      <scheme val="minor"/>
    </font>
    <font>
      <b/>
      <sz val="16"/>
      <color theme="0"/>
      <name val="Calibri"/>
      <family val="2"/>
      <scheme val="minor"/>
    </font>
    <font>
      <sz val="11"/>
      <color theme="0"/>
      <name val="Calibri"/>
      <family val="2"/>
      <scheme val="minor"/>
    </font>
  </fonts>
  <fills count="9">
    <fill>
      <patternFill patternType="none"/>
    </fill>
    <fill>
      <patternFill patternType="gray125"/>
    </fill>
    <fill>
      <patternFill patternType="solid">
        <fgColor theme="8" tint="0.39997558519241921"/>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4">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49">
    <xf numFmtId="0" fontId="0" fillId="0" borderId="0" xfId="0"/>
    <xf numFmtId="16" fontId="0" fillId="0" borderId="0" xfId="0" applyNumberFormat="1"/>
    <xf numFmtId="0" fontId="0" fillId="0" borderId="0" xfId="0" applyAlignment="1">
      <alignment horizontal="center"/>
    </xf>
    <xf numFmtId="164" fontId="0" fillId="0" borderId="0" xfId="1" applyNumberFormat="1" applyFont="1"/>
    <xf numFmtId="15" fontId="0" fillId="0" borderId="0" xfId="0" applyNumberFormat="1"/>
    <xf numFmtId="0" fontId="2" fillId="0" borderId="0" xfId="0" applyFont="1"/>
    <xf numFmtId="0" fontId="4" fillId="0" borderId="0" xfId="0" applyFont="1"/>
    <xf numFmtId="0" fontId="5" fillId="0" borderId="0" xfId="0" applyFont="1"/>
    <xf numFmtId="0" fontId="2"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6" fillId="3" borderId="0" xfId="0" applyFont="1" applyFill="1" applyAlignment="1">
      <alignment horizontal="center"/>
    </xf>
    <xf numFmtId="165" fontId="6" fillId="3" borderId="0" xfId="1" applyNumberFormat="1" applyFont="1" applyFill="1" applyAlignment="1"/>
    <xf numFmtId="0" fontId="6" fillId="4" borderId="0" xfId="0" applyFont="1" applyFill="1" applyAlignment="1">
      <alignment horizontal="center"/>
    </xf>
    <xf numFmtId="165" fontId="6" fillId="4" borderId="0" xfId="1" applyNumberFormat="1" applyFont="1" applyFill="1" applyAlignment="1">
      <alignment horizontal="center"/>
    </xf>
    <xf numFmtId="0" fontId="6" fillId="5" borderId="0" xfId="0" applyFont="1" applyFill="1" applyAlignment="1">
      <alignment horizontal="center"/>
    </xf>
    <xf numFmtId="165" fontId="6" fillId="5" borderId="0" xfId="1" applyNumberFormat="1" applyFont="1" applyFill="1" applyAlignment="1">
      <alignment horizontal="center"/>
    </xf>
    <xf numFmtId="164" fontId="6" fillId="6" borderId="0" xfId="1" applyNumberFormat="1" applyFont="1" applyFill="1" applyAlignment="1">
      <alignment horizontal="center"/>
    </xf>
    <xf numFmtId="165" fontId="6" fillId="6" borderId="0" xfId="1" applyNumberFormat="1" applyFont="1" applyFill="1" applyAlignment="1">
      <alignment horizontal="center"/>
    </xf>
    <xf numFmtId="0" fontId="7" fillId="0" borderId="0" xfId="0" applyFont="1" applyFill="1" applyAlignment="1"/>
    <xf numFmtId="0" fontId="8" fillId="0" borderId="0" xfId="0" applyFont="1" applyFill="1" applyAlignment="1">
      <alignment horizontal="center" vertical="center"/>
    </xf>
    <xf numFmtId="0" fontId="9" fillId="0" borderId="0" xfId="0" applyFont="1" applyFill="1" applyAlignment="1">
      <alignment horizontal="center" vertical="center"/>
    </xf>
    <xf numFmtId="0" fontId="0" fillId="0" borderId="0" xfId="0" applyFont="1"/>
    <xf numFmtId="0" fontId="0" fillId="0" borderId="0" xfId="0" applyFont="1" applyAlignment="1">
      <alignment horizontal="center"/>
    </xf>
    <xf numFmtId="0" fontId="0" fillId="0" borderId="0" xfId="0" applyAlignment="1">
      <alignment wrapText="1"/>
    </xf>
    <xf numFmtId="0" fontId="4" fillId="0" borderId="0" xfId="0" applyFont="1" applyAlignment="1"/>
    <xf numFmtId="0" fontId="5" fillId="0" borderId="0" xfId="0" applyFont="1" applyAlignment="1"/>
    <xf numFmtId="0" fontId="2" fillId="0" borderId="0" xfId="0" applyFont="1" applyAlignment="1"/>
    <xf numFmtId="166" fontId="0" fillId="0" borderId="0" xfId="0" applyNumberFormat="1"/>
    <xf numFmtId="1" fontId="0" fillId="0" borderId="0" xfId="0" applyNumberFormat="1"/>
    <xf numFmtId="0" fontId="0" fillId="0" borderId="3" xfId="0" applyBorder="1"/>
    <xf numFmtId="17" fontId="0" fillId="0" borderId="3" xfId="0" applyNumberFormat="1" applyBorder="1" applyAlignment="1">
      <alignment horizontal="left"/>
    </xf>
    <xf numFmtId="0" fontId="0" fillId="0" borderId="3" xfId="0" applyFill="1" applyBorder="1"/>
    <xf numFmtId="0" fontId="0" fillId="8" borderId="0" xfId="0" applyFill="1"/>
    <xf numFmtId="0" fontId="12" fillId="8" borderId="0" xfId="0" applyFont="1" applyFill="1"/>
    <xf numFmtId="164" fontId="12" fillId="8" borderId="0" xfId="1" applyNumberFormat="1" applyFont="1" applyFill="1"/>
    <xf numFmtId="0" fontId="3" fillId="0" borderId="0" xfId="0" applyFont="1" applyAlignment="1">
      <alignment horizontal="center"/>
    </xf>
    <xf numFmtId="0" fontId="0" fillId="0" borderId="0" xfId="0" applyAlignment="1">
      <alignment wrapText="1"/>
    </xf>
    <xf numFmtId="0" fontId="7" fillId="2" borderId="0" xfId="0" applyFont="1" applyFill="1" applyAlignment="1">
      <alignment horizontal="center" vertic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11" fillId="2" borderId="0" xfId="0" applyFont="1" applyFill="1" applyAlignment="1">
      <alignment horizontal="center" vertical="center"/>
    </xf>
    <xf numFmtId="0" fontId="10" fillId="2" borderId="0" xfId="0" applyFont="1" applyFill="1" applyAlignment="1">
      <alignment horizontal="center" vertical="center"/>
    </xf>
    <xf numFmtId="0" fontId="7" fillId="8" borderId="0" xfId="0" applyFont="1" applyFill="1" applyAlignment="1">
      <alignment horizontal="center"/>
    </xf>
    <xf numFmtId="0" fontId="11" fillId="8" borderId="0" xfId="0" applyFont="1" applyFill="1" applyAlignment="1">
      <alignment horizontal="center"/>
    </xf>
    <xf numFmtId="0" fontId="10" fillId="8" borderId="0" xfId="0" applyFont="1" applyFill="1" applyAlignment="1">
      <alignment horizontal="center"/>
    </xf>
    <xf numFmtId="0" fontId="6" fillId="8" borderId="0" xfId="0" applyFont="1" applyFill="1" applyAlignment="1">
      <alignment horizontal="center"/>
    </xf>
  </cellXfs>
  <cellStyles count="2">
    <cellStyle name="Comma" xfId="1" builtinId="3"/>
    <cellStyle name="Normal" xfId="0" builtinId="0"/>
  </cellStyles>
  <dxfs count="69">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1" formatCode="0"/>
    </dxf>
    <dxf>
      <numFmt numFmtId="164" formatCode="_(* #,##0_);_(* \(#,##0\);_(* &quot;-&quot;??_);_(@_)"/>
    </dxf>
    <dxf>
      <numFmt numFmtId="166" formatCode="[$-409]d\-mmm\-yy;@"/>
    </dxf>
    <dxf>
      <numFmt numFmtId="166" formatCode="[$-409]d\-mmm\-yy;@"/>
    </dxf>
    <dxf>
      <numFmt numFmtId="0" formatCode="General"/>
    </dxf>
    <dxf>
      <alignment horizontal="center" vertical="bottom" textRotation="0" wrapText="0" indent="0" justifyLastLine="0" shrinkToFit="0" readingOrder="0"/>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E58505"/>
        </patternFill>
      </fill>
    </dxf>
    <dxf>
      <fill>
        <patternFill>
          <bgColor rgb="FFFF3399"/>
        </patternFill>
      </fill>
    </dxf>
    <dxf>
      <fill>
        <patternFill>
          <bgColor rgb="FFFF0000"/>
        </patternFill>
      </fill>
    </dxf>
    <dxf>
      <numFmt numFmtId="0" formatCode="General"/>
    </dxf>
    <dxf>
      <numFmt numFmtId="164" formatCode="_(* #,##0_);_(* \(#,##0\);_(* &quot;-&quot;??_);_(@_)"/>
    </dxf>
    <dxf>
      <numFmt numFmtId="1" formatCode="0"/>
    </dxf>
    <dxf>
      <numFmt numFmtId="166" formatCode="[$-409]d\-mmm\-yy;@"/>
    </dxf>
    <dxf>
      <numFmt numFmtId="166" formatCode="[$-409]d\-mmm\-yy;@"/>
    </dxf>
    <dxf>
      <alignment horizontal="center" vertical="bottom" textRotation="0" wrapText="0" indent="0" justifyLastLine="0" shrinkToFit="0" readingOrder="0"/>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numFmt numFmtId="164" formatCode="_(* #,##0_);_(* \(#,##0\);_(* &quot;-&quot;??_);_(@_)"/>
    </dxf>
    <dxf>
      <numFmt numFmtId="164" formatCode="_(* #,##0_);_(* \(#,##0\);_(* &quot;-&quot;??_);_(@_)"/>
    </dxf>
    <dxf>
      <numFmt numFmtId="20" formatCode="d\-mmm\-yy"/>
    </dxf>
    <dxf>
      <alignment horizontal="center" vertical="bottom" textRotation="0" wrapText="0" indent="0" justifyLastLine="0" shrinkToFit="0" readingOrder="0"/>
    </dxf>
    <dxf>
      <fill>
        <patternFill>
          <bgColor rgb="FF92D050"/>
        </patternFill>
      </fill>
    </dxf>
    <dxf>
      <fill>
        <patternFill>
          <bgColor rgb="FFFFFF00"/>
        </patternFill>
      </fill>
    </dxf>
    <dxf>
      <fill>
        <patternFill>
          <bgColor rgb="FFFF0000"/>
        </patternFill>
      </fill>
    </dxf>
    <dxf>
      <font>
        <b val="0"/>
        <i val="0"/>
        <strike val="0"/>
        <condense val="0"/>
        <extend val="0"/>
        <outline val="0"/>
        <shadow val="0"/>
        <u val="none"/>
        <vertAlign val="baseline"/>
        <sz val="11"/>
        <color theme="1"/>
        <name val="Calibri"/>
        <scheme val="minor"/>
      </font>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numFmt numFmtId="164" formatCode="_(* #,##0_);_(* \(#,##0\);_(* &quot;-&quot;??_);_(@_)"/>
    </dxf>
    <dxf>
      <numFmt numFmtId="164" formatCode="_(* #,##0_);_(* \(#,##0\);_(* &quot;-&quot;??_);_(@_)"/>
    </dxf>
    <dxf>
      <numFmt numFmtId="21" formatCode="d\-mmm"/>
    </dxf>
    <dxf>
      <numFmt numFmtId="0" formatCode="General"/>
    </dxf>
    <dxf>
      <numFmt numFmtId="21" formatCode="d\-mmm"/>
    </dxf>
    <dxf>
      <alignment horizontal="center" vertical="bottom" textRotation="0" wrapText="0" indent="0" justifyLastLine="0" shrinkToFit="0" readingOrder="0"/>
    </dxf>
    <dxf>
      <numFmt numFmtId="164" formatCode="_(* #,##0_);_(* \(#,##0\);_(* &quot;-&quot;??_);_(@_)"/>
    </dxf>
    <dxf>
      <numFmt numFmtId="0" formatCode="General"/>
    </dxf>
    <dxf>
      <numFmt numFmtId="21" formatCode="d\-mmm"/>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numFmt numFmtId="164" formatCode="_(* #,##0_);_(* \(#,##0\);_(* &quot;-&quot;??_);_(@_)"/>
    </dxf>
    <dxf>
      <numFmt numFmtId="21" formatCode="d\-mmm"/>
    </dxf>
    <dxf>
      <numFmt numFmtId="0" formatCode="General"/>
    </dxf>
    <dxf>
      <numFmt numFmtId="21" formatCode="d\-mmm"/>
    </dxf>
    <dxf>
      <alignment horizontal="center" vertical="bottom" textRotation="0" wrapText="0" indent="0" justifyLastLine="0" shrinkToFit="0" readingOrder="0"/>
    </dxf>
    <dxf>
      <fill>
        <patternFill>
          <bgColor rgb="FF92D050"/>
        </patternFill>
      </fill>
    </dxf>
    <dxf>
      <fill>
        <patternFill>
          <bgColor rgb="FFFFFF00"/>
        </patternFill>
      </fill>
    </dxf>
    <dxf>
      <fill>
        <patternFill>
          <bgColor rgb="FFFF0000"/>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 #,##0_);_(* \(#,##0\);_(* &quot;-&quot;??_);_(@_)"/>
    </dxf>
    <dxf>
      <numFmt numFmtId="164" formatCode="_(* #,##0_);_(* \(#,##0\);_(* &quot;-&quot;??_);_(@_)"/>
    </dxf>
    <dxf>
      <alignment horizontal="center" vertical="bottom" textRotation="0" wrapText="0" indent="0" justifyLastLine="0" shrinkToFit="0" readingOrder="0"/>
    </dxf>
  </dxfs>
  <tableStyles count="0" defaultTableStyle="TableStyleMedium2" defaultPivotStyle="PivotStyleLight16"/>
  <colors>
    <mruColors>
      <color rgb="FFFF3399"/>
      <color rgb="FFE5850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[Accounts Receivable &amp; Accounts Payable Management System_Sri Wahyuni.xlsx]Summary!PivotTable1</c:name>
    <c:fmtId val="2"/>
  </c:pivotSource>
  <c:chart>
    <c:title>
      <c:tx>
        <c:rich>
          <a:bodyPr/>
          <a:lstStyle/>
          <a:p>
            <a:pPr>
              <a:defRPr/>
            </a:pPr>
            <a:r>
              <a:rPr lang="en-US"/>
              <a:t>Sales per Customer</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Summary!$B$1</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Summary!$A$2:$A$7</c:f>
              <c:strCache>
                <c:ptCount val="5"/>
                <c:pt idx="0">
                  <c:v>CV Sumber Jaya</c:v>
                </c:pt>
                <c:pt idx="1">
                  <c:v>PT Global Stationery</c:v>
                </c:pt>
                <c:pt idx="2">
                  <c:v>PT Maju Bersama</c:v>
                </c:pt>
                <c:pt idx="3">
                  <c:v>PT Prima Office</c:v>
                </c:pt>
                <c:pt idx="4">
                  <c:v>PT Sentosa Abadi</c:v>
                </c:pt>
              </c:strCache>
            </c:strRef>
          </c:cat>
          <c:val>
            <c:numRef>
              <c:f>Summary!$B$2:$B$7</c:f>
              <c:numCache>
                <c:formatCode>_(* #,##0_);_(* \(#,##0\);_(* "-"??_);_(@_)</c:formatCode>
                <c:ptCount val="5"/>
                <c:pt idx="0">
                  <c:v>2300000</c:v>
                </c:pt>
                <c:pt idx="1">
                  <c:v>7200000</c:v>
                </c:pt>
                <c:pt idx="2">
                  <c:v>9600000</c:v>
                </c:pt>
                <c:pt idx="3">
                  <c:v>11800000</c:v>
                </c:pt>
                <c:pt idx="4">
                  <c:v>6500000</c:v>
                </c:pt>
              </c:numCache>
            </c:numRef>
          </c:val>
        </c:ser>
        <c:dLbls>
          <c:showLegendKey val="0"/>
          <c:showVal val="1"/>
          <c:showCatName val="0"/>
          <c:showSerName val="0"/>
          <c:showPercent val="0"/>
          <c:showBubbleSize val="0"/>
        </c:dLbls>
        <c:gapWidth val="150"/>
        <c:overlap val="-25"/>
        <c:axId val="170437120"/>
        <c:axId val="221505216"/>
      </c:barChart>
      <c:catAx>
        <c:axId val="170437120"/>
        <c:scaling>
          <c:orientation val="minMax"/>
        </c:scaling>
        <c:delete val="0"/>
        <c:axPos val="b"/>
        <c:majorTickMark val="none"/>
        <c:minorTickMark val="none"/>
        <c:tickLblPos val="nextTo"/>
        <c:crossAx val="221505216"/>
        <c:crosses val="autoZero"/>
        <c:auto val="1"/>
        <c:lblAlgn val="ctr"/>
        <c:lblOffset val="100"/>
        <c:noMultiLvlLbl val="0"/>
      </c:catAx>
      <c:valAx>
        <c:axId val="221505216"/>
        <c:scaling>
          <c:orientation val="minMax"/>
        </c:scaling>
        <c:delete val="1"/>
        <c:axPos val="l"/>
        <c:numFmt formatCode="_(* #,##0_);_(* \(#,##0\);_(* &quot;-&quot;??_);_(@_)" sourceLinked="1"/>
        <c:majorTickMark val="none"/>
        <c:minorTickMark val="none"/>
        <c:tickLblPos val="nextTo"/>
        <c:crossAx val="170437120"/>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Receivable &amp; Accounts Payable Management System_Sri Wahyuni.xlsx]Summary!PivotTable3</c:name>
    <c:fmtId val="0"/>
  </c:pivotSource>
  <c:chart>
    <c:title>
      <c:tx>
        <c:rich>
          <a:bodyPr/>
          <a:lstStyle/>
          <a:p>
            <a:pPr>
              <a:defRPr/>
            </a:pPr>
            <a:r>
              <a:rPr lang="en-US"/>
              <a:t>Purchase per</a:t>
            </a:r>
            <a:r>
              <a:rPr lang="en-US" baseline="0"/>
              <a:t> Supplier</a:t>
            </a:r>
            <a:endParaRPr lang="en-US"/>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Summary!$E$1</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Summary!$D$2:$D$5</c:f>
              <c:strCache>
                <c:ptCount val="3"/>
                <c:pt idx="0">
                  <c:v>PT Kertas Indonesia</c:v>
                </c:pt>
                <c:pt idx="1">
                  <c:v>PT Office Supply</c:v>
                </c:pt>
                <c:pt idx="2">
                  <c:v>PT Pena Nusantara</c:v>
                </c:pt>
              </c:strCache>
            </c:strRef>
          </c:cat>
          <c:val>
            <c:numRef>
              <c:f>Summary!$E$2:$E$5</c:f>
              <c:numCache>
                <c:formatCode>_(* #,##0_);_(* \(#,##0\);_(* "-"??_);_(@_)</c:formatCode>
                <c:ptCount val="3"/>
                <c:pt idx="0">
                  <c:v>8350000</c:v>
                </c:pt>
                <c:pt idx="1">
                  <c:v>2700000</c:v>
                </c:pt>
                <c:pt idx="2">
                  <c:v>2250000</c:v>
                </c:pt>
              </c:numCache>
            </c:numRef>
          </c:val>
        </c:ser>
        <c:dLbls>
          <c:showLegendKey val="0"/>
          <c:showVal val="0"/>
          <c:showCatName val="0"/>
          <c:showSerName val="0"/>
          <c:showPercent val="0"/>
          <c:showBubbleSize val="0"/>
        </c:dLbls>
        <c:gapWidth val="150"/>
        <c:axId val="199266816"/>
        <c:axId val="221506944"/>
      </c:barChart>
      <c:catAx>
        <c:axId val="199266816"/>
        <c:scaling>
          <c:orientation val="minMax"/>
        </c:scaling>
        <c:delete val="0"/>
        <c:axPos val="b"/>
        <c:majorTickMark val="out"/>
        <c:minorTickMark val="none"/>
        <c:tickLblPos val="nextTo"/>
        <c:crossAx val="221506944"/>
        <c:crosses val="autoZero"/>
        <c:auto val="1"/>
        <c:lblAlgn val="ctr"/>
        <c:lblOffset val="100"/>
        <c:noMultiLvlLbl val="0"/>
      </c:catAx>
      <c:valAx>
        <c:axId val="221506944"/>
        <c:scaling>
          <c:orientation val="minMax"/>
        </c:scaling>
        <c:delete val="0"/>
        <c:axPos val="l"/>
        <c:majorGridlines/>
        <c:numFmt formatCode="_(* #,##0_);_(* \(#,##0\);_(* &quot;-&quot;??_);_(@_)" sourceLinked="1"/>
        <c:majorTickMark val="out"/>
        <c:minorTickMark val="none"/>
        <c:tickLblPos val="nextTo"/>
        <c:crossAx val="199266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[Accounts Receivable &amp; Accounts Payable Management System_Sri Wahyuni.xlsx]Summary!PivotTable9</c:name>
    <c:fmtId val="0"/>
  </c:pivotSource>
  <c:chart>
    <c:title>
      <c:tx>
        <c:rich>
          <a:bodyPr/>
          <a:lstStyle/>
          <a:p>
            <a:pPr>
              <a:defRPr/>
            </a:pPr>
            <a:r>
              <a:rPr lang="en-US"/>
              <a:t>AR Status</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view3D>
      <c:rotX val="75"/>
      <c:rotY val="0"/>
      <c:rAngAx val="0"/>
      <c:perspective val="30"/>
    </c:view3D>
    <c:floor>
      <c:thickness val="0"/>
    </c:floor>
    <c:sideWall>
      <c:thickness val="0"/>
    </c:sideWall>
    <c:backWall>
      <c:thickness val="0"/>
    </c:backWall>
    <c:plotArea>
      <c:layout/>
      <c:pie3DChart>
        <c:varyColors val="1"/>
        <c:ser>
          <c:idx val="0"/>
          <c:order val="0"/>
          <c:tx>
            <c:strRef>
              <c:f>Summary!$B$12</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Summary!$A$13:$A$15</c:f>
              <c:strCache>
                <c:ptCount val="2"/>
                <c:pt idx="0">
                  <c:v>Open</c:v>
                </c:pt>
                <c:pt idx="1">
                  <c:v>Partial</c:v>
                </c:pt>
              </c:strCache>
            </c:strRef>
          </c:cat>
          <c:val>
            <c:numRef>
              <c:f>Summary!$B$13:$B$15</c:f>
              <c:numCache>
                <c:formatCode>General</c:formatCode>
                <c:ptCount val="2"/>
                <c:pt idx="0">
                  <c:v>5</c:v>
                </c:pt>
                <c:pt idx="1">
                  <c:v>3</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Receivable &amp; Accounts Payable Management System_Sri Wahyuni.xlsx]Summary!PivotTable11</c:name>
    <c:fmtId val="0"/>
  </c:pivotSource>
  <c:chart>
    <c:title>
      <c:tx>
        <c:rich>
          <a:bodyPr/>
          <a:lstStyle/>
          <a:p>
            <a:pPr>
              <a:defRPr/>
            </a:pPr>
            <a:r>
              <a:rPr lang="en-US"/>
              <a:t>AP Status</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pieChart>
        <c:varyColors val="1"/>
        <c:ser>
          <c:idx val="0"/>
          <c:order val="0"/>
          <c:tx>
            <c:strRef>
              <c:f>Summary!$E$11</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Summary!$D$12:$D$14</c:f>
              <c:strCache>
                <c:ptCount val="2"/>
                <c:pt idx="0">
                  <c:v>Paid</c:v>
                </c:pt>
                <c:pt idx="1">
                  <c:v>Partial</c:v>
                </c:pt>
              </c:strCache>
            </c:strRef>
          </c:cat>
          <c:val>
            <c:numRef>
              <c:f>Summary!$E$12:$E$14</c:f>
              <c:numCache>
                <c:formatCode>General</c:formatCode>
                <c:ptCount val="2"/>
                <c:pt idx="0">
                  <c:v>3</c:v>
                </c:pt>
                <c:pt idx="1">
                  <c:v>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[Accounts Receivable &amp; Accounts Payable Management System_Sri Wahyuni.xlsx]Summary!PivotTable2</c:name>
    <c:fmtId val="4"/>
  </c:pivotSource>
  <c:chart>
    <c:title>
      <c:tx>
        <c:rich>
          <a:bodyPr/>
          <a:lstStyle/>
          <a:p>
            <a:pPr>
              <a:defRPr/>
            </a:pPr>
            <a:r>
              <a:rPr lang="en-US"/>
              <a:t>AR Aging</a:t>
            </a:r>
          </a:p>
        </c:rich>
      </c:tx>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marker>
          <c:symbol val="none"/>
        </c:marker>
        <c:dLbl>
          <c:idx val="0"/>
          <c:layout/>
          <c:showLegendKey val="0"/>
          <c:showVal val="1"/>
          <c:showCatName val="0"/>
          <c:showSerName val="0"/>
          <c:showPercent val="0"/>
          <c:showBubbleSize val="0"/>
        </c:dLbl>
      </c:pivotFmt>
    </c:pivotFmts>
    <c:plotArea>
      <c:layout/>
      <c:barChart>
        <c:barDir val="bar"/>
        <c:grouping val="clustered"/>
        <c:varyColors val="0"/>
        <c:ser>
          <c:idx val="0"/>
          <c:order val="0"/>
          <c:tx>
            <c:strRef>
              <c:f>Summary!$F$18</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Summary!$E$19:$E$20</c:f>
              <c:strCache>
                <c:ptCount val="1"/>
                <c:pt idx="0">
                  <c:v>&gt;60 Days</c:v>
                </c:pt>
              </c:strCache>
            </c:strRef>
          </c:cat>
          <c:val>
            <c:numRef>
              <c:f>Summary!$F$19:$F$20</c:f>
              <c:numCache>
                <c:formatCode>General</c:formatCode>
                <c:ptCount val="1"/>
                <c:pt idx="0">
                  <c:v>31400000</c:v>
                </c:pt>
              </c:numCache>
            </c:numRef>
          </c:val>
        </c:ser>
        <c:dLbls>
          <c:showLegendKey val="0"/>
          <c:showVal val="0"/>
          <c:showCatName val="0"/>
          <c:showSerName val="0"/>
          <c:showPercent val="0"/>
          <c:showBubbleSize val="0"/>
        </c:dLbls>
        <c:gapWidth val="150"/>
        <c:axId val="199433216"/>
        <c:axId val="221471872"/>
      </c:barChart>
      <c:catAx>
        <c:axId val="199433216"/>
        <c:scaling>
          <c:orientation val="minMax"/>
        </c:scaling>
        <c:delete val="0"/>
        <c:axPos val="l"/>
        <c:majorTickMark val="out"/>
        <c:minorTickMark val="none"/>
        <c:tickLblPos val="nextTo"/>
        <c:crossAx val="221471872"/>
        <c:crosses val="autoZero"/>
        <c:auto val="1"/>
        <c:lblAlgn val="ctr"/>
        <c:lblOffset val="100"/>
        <c:noMultiLvlLbl val="0"/>
      </c:catAx>
      <c:valAx>
        <c:axId val="221471872"/>
        <c:scaling>
          <c:orientation val="minMax"/>
        </c:scaling>
        <c:delete val="0"/>
        <c:axPos val="b"/>
        <c:majorGridlines/>
        <c:numFmt formatCode="General" sourceLinked="1"/>
        <c:majorTickMark val="out"/>
        <c:minorTickMark val="none"/>
        <c:tickLblPos val="nextTo"/>
        <c:crossAx val="1994332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Receivable &amp; Accounts Payable Management System_Sri Wahyuni.xlsx]Summary!PivotTable4</c:name>
    <c:fmtId val="2"/>
  </c:pivotSource>
  <c:chart>
    <c:title>
      <c:tx>
        <c:rich>
          <a:bodyPr/>
          <a:lstStyle/>
          <a:p>
            <a:pPr>
              <a:defRPr/>
            </a:pPr>
            <a:r>
              <a:rPr lang="en-US"/>
              <a:t>AP Aging</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stacked"/>
        <c:varyColors val="0"/>
        <c:ser>
          <c:idx val="0"/>
          <c:order val="0"/>
          <c:tx>
            <c:strRef>
              <c:f>Summary!$F$22</c:f>
              <c:strCache>
                <c:ptCount val="1"/>
                <c:pt idx="0">
                  <c:v>Total</c:v>
                </c:pt>
              </c:strCache>
            </c:strRef>
          </c:tx>
          <c:invertIfNegative val="0"/>
          <c:cat>
            <c:strRef>
              <c:f>Summary!$E$23:$E$25</c:f>
              <c:strCache>
                <c:ptCount val="2"/>
                <c:pt idx="1">
                  <c:v>Over 90 Days</c:v>
                </c:pt>
              </c:strCache>
            </c:strRef>
          </c:cat>
          <c:val>
            <c:numRef>
              <c:f>Summary!$F$23:$F$25</c:f>
              <c:numCache>
                <c:formatCode>General</c:formatCode>
                <c:ptCount val="2"/>
                <c:pt idx="0">
                  <c:v>0</c:v>
                </c:pt>
                <c:pt idx="1">
                  <c:v>850000</c:v>
                </c:pt>
              </c:numCache>
            </c:numRef>
          </c:val>
        </c:ser>
        <c:dLbls>
          <c:showLegendKey val="0"/>
          <c:showVal val="0"/>
          <c:showCatName val="0"/>
          <c:showSerName val="0"/>
          <c:showPercent val="0"/>
          <c:showBubbleSize val="0"/>
        </c:dLbls>
        <c:gapWidth val="150"/>
        <c:overlap val="100"/>
        <c:axId val="199792640"/>
        <c:axId val="221473600"/>
      </c:barChart>
      <c:catAx>
        <c:axId val="199792640"/>
        <c:scaling>
          <c:orientation val="minMax"/>
        </c:scaling>
        <c:delete val="0"/>
        <c:axPos val="l"/>
        <c:majorTickMark val="out"/>
        <c:minorTickMark val="none"/>
        <c:tickLblPos val="nextTo"/>
        <c:crossAx val="221473600"/>
        <c:crosses val="autoZero"/>
        <c:auto val="1"/>
        <c:lblAlgn val="ctr"/>
        <c:lblOffset val="100"/>
        <c:noMultiLvlLbl val="0"/>
      </c:catAx>
      <c:valAx>
        <c:axId val="221473600"/>
        <c:scaling>
          <c:orientation val="minMax"/>
        </c:scaling>
        <c:delete val="0"/>
        <c:axPos val="b"/>
        <c:majorGridlines/>
        <c:numFmt formatCode="General" sourceLinked="1"/>
        <c:majorTickMark val="out"/>
        <c:minorTickMark val="none"/>
        <c:tickLblPos val="nextTo"/>
        <c:crossAx val="1997926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238125</xdr:colOff>
      <xdr:row>19</xdr:row>
      <xdr:rowOff>85726</xdr:rowOff>
    </xdr:from>
    <xdr:to>
      <xdr:col>3</xdr:col>
      <xdr:colOff>352425</xdr:colOff>
      <xdr:row>31</xdr:row>
      <xdr:rowOff>9526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885826</xdr:colOff>
      <xdr:row>19</xdr:row>
      <xdr:rowOff>95250</xdr:rowOff>
    </xdr:from>
    <xdr:to>
      <xdr:col>6</xdr:col>
      <xdr:colOff>161925</xdr:colOff>
      <xdr:row>31</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247651</xdr:colOff>
      <xdr:row>44</xdr:row>
      <xdr:rowOff>19049</xdr:rowOff>
    </xdr:from>
    <xdr:to>
      <xdr:col>3</xdr:col>
      <xdr:colOff>533401</xdr:colOff>
      <xdr:row>53</xdr:row>
      <xdr:rowOff>95248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819150</xdr:colOff>
      <xdr:row>43</xdr:row>
      <xdr:rowOff>142875</xdr:rowOff>
    </xdr:from>
    <xdr:to>
      <xdr:col>6</xdr:col>
      <xdr:colOff>238125</xdr:colOff>
      <xdr:row>53</xdr:row>
      <xdr:rowOff>133350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552450</xdr:colOff>
      <xdr:row>7</xdr:row>
      <xdr:rowOff>161925</xdr:rowOff>
    </xdr:from>
    <xdr:to>
      <xdr:col>2</xdr:col>
      <xdr:colOff>790575</xdr:colOff>
      <xdr:row>18</xdr:row>
      <xdr:rowOff>123825</xdr:rowOff>
    </xdr:to>
    <mc:AlternateContent xmlns:mc="http://schemas.openxmlformats.org/markup-compatibility/2006" xmlns:a14="http://schemas.microsoft.com/office/drawing/2010/main">
      <mc:Choice Requires="a14">
        <xdr:graphicFrame macro="">
          <xdr:nvGraphicFramePr>
            <xdr:cNvPr id="11" name="Custome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162050" y="1114425"/>
              <a:ext cx="1562100"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8</xdr:row>
      <xdr:rowOff>0</xdr:rowOff>
    </xdr:from>
    <xdr:to>
      <xdr:col>4</xdr:col>
      <xdr:colOff>2057400</xdr:colOff>
      <xdr:row>18</xdr:row>
      <xdr:rowOff>180975</xdr:rowOff>
    </xdr:to>
    <mc:AlternateContent xmlns:mc="http://schemas.openxmlformats.org/markup-compatibility/2006" xmlns:a14="http://schemas.microsoft.com/office/drawing/2010/main">
      <mc:Choice Requires="a14">
        <xdr:graphicFrame macro="">
          <xdr:nvGraphicFramePr>
            <xdr:cNvPr id="13" name="Supplie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5076825" y="1143000"/>
              <a:ext cx="1562100"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32</xdr:row>
      <xdr:rowOff>19050</xdr:rowOff>
    </xdr:from>
    <xdr:to>
      <xdr:col>3</xdr:col>
      <xdr:colOff>219075</xdr:colOff>
      <xdr:row>42</xdr:row>
      <xdr:rowOff>142876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904875</xdr:colOff>
      <xdr:row>32</xdr:row>
      <xdr:rowOff>104774</xdr:rowOff>
    </xdr:from>
    <xdr:to>
      <xdr:col>6</xdr:col>
      <xdr:colOff>28575</xdr:colOff>
      <xdr:row>42</xdr:row>
      <xdr:rowOff>57149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Sri Wahyuni" refreshedDate="46204.886288078706" createdVersion="4" refreshedVersion="4" minRefreshableVersion="3" recordCount="8">
  <cacheSource type="worksheet">
    <worksheetSource name="tblSales"/>
  </cacheSource>
  <cacheFields count="9">
    <cacheField name="Invoice" numFmtId="0">
      <sharedItems/>
    </cacheField>
    <cacheField name="Date" numFmtId="16">
      <sharedItems containsSemiMixedTypes="0" containsNonDate="0" containsDate="1" containsString="0" minDate="2026-02-01T00:00:00" maxDate="2026-02-27T00:00:00"/>
    </cacheField>
    <cacheField name="Customer" numFmtId="0">
      <sharedItems count="5">
        <s v="PT Maju Bersama"/>
        <s v="PT Sentosa Abadi"/>
        <s v="PT Global Stationery"/>
        <s v="CV Sumber Jaya"/>
        <s v="PT Prima Office"/>
      </sharedItems>
    </cacheField>
    <cacheField name="Credit Term" numFmtId="0">
      <sharedItems containsSemiMixedTypes="0" containsString="0" containsNumber="1" containsInteger="1" minValue="14" maxValue="30"/>
    </cacheField>
    <cacheField name="Due Date" numFmtId="16">
      <sharedItems containsSemiMixedTypes="0" containsNonDate="0" containsDate="1" containsString="0" minDate="2026-02-18T00:00:00" maxDate="2026-03-29T00:00:00"/>
    </cacheField>
    <cacheField name="Amount" numFmtId="164">
      <sharedItems containsSemiMixedTypes="0" containsString="0" containsNumber="1" containsInteger="1" minValue="2300000" maxValue="7200000"/>
    </cacheField>
    <cacheField name="Payment Received" numFmtId="164">
      <sharedItems containsSemiMixedTypes="0" containsString="0" containsNumber="1" containsInteger="1" minValue="0" maxValue="2700000"/>
    </cacheField>
    <cacheField name="Outstanding" numFmtId="164">
      <sharedItems containsSemiMixedTypes="0" containsString="0" containsNumber="1" containsInteger="1" minValue="2300000" maxValue="6000000"/>
    </cacheField>
    <cacheField name="Status" numFmtId="0">
      <sharedItems count="2">
        <s v="Partial"/>
        <s v="Open"/>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ri Wahyuni" refreshedDate="46204.888751851853" createdVersion="4" refreshedVersion="4" minRefreshableVersion="3" recordCount="4">
  <cacheSource type="worksheet">
    <worksheetSource name="tblPurchase"/>
  </cacheSource>
  <cacheFields count="12">
    <cacheField name="Invoice" numFmtId="0">
      <sharedItems/>
    </cacheField>
    <cacheField name="Date" numFmtId="16">
      <sharedItems containsSemiMixedTypes="0" containsNonDate="0" containsDate="1" containsString="0" minDate="2026-02-02T00:00:00" maxDate="2026-02-16T00:00:00"/>
    </cacheField>
    <cacheField name="Supplier" numFmtId="0">
      <sharedItems count="3">
        <s v="PT Kertas Indonesia"/>
        <s v="PT Pena Nusantara"/>
        <s v="PT Office Supply"/>
      </sharedItems>
    </cacheField>
    <cacheField name="Payment Term" numFmtId="0">
      <sharedItems containsSemiMixedTypes="0" containsString="0" containsNumber="1" containsInteger="1" minValue="21" maxValue="30"/>
    </cacheField>
    <cacheField name="Due Date" numFmtId="16">
      <sharedItems containsSemiMixedTypes="0" containsNonDate="0" containsDate="1" containsString="0" minDate="2026-02-27T00:00:00" maxDate="2026-03-18T00:00:00"/>
    </cacheField>
    <cacheField name="Item" numFmtId="0">
      <sharedItems/>
    </cacheField>
    <cacheField name="Qty" numFmtId="0">
      <sharedItems containsSemiMixedTypes="0" containsString="0" containsNumber="1" containsInteger="1" minValue="30" maxValue="500"/>
    </cacheField>
    <cacheField name="Unit Cost" numFmtId="164">
      <sharedItems containsSemiMixedTypes="0" containsString="0" containsNumber="1" containsInteger="1" minValue="4500" maxValue="95000"/>
    </cacheField>
    <cacheField name="Total" numFmtId="164">
      <sharedItems containsSemiMixedTypes="0" containsString="0" containsNumber="1" containsInteger="1" minValue="2250000" maxValue="5500000"/>
    </cacheField>
    <cacheField name="Payment Made" numFmtId="164">
      <sharedItems containsSemiMixedTypes="0" containsString="0" containsNumber="1" containsInteger="1" minValue="2000000" maxValue="5500000"/>
    </cacheField>
    <cacheField name="Outstanding" numFmtId="164">
      <sharedItems containsSemiMixedTypes="0" containsString="0" containsNumber="1" containsInteger="1" minValue="0" maxValue="850000"/>
    </cacheField>
    <cacheField name="Status" numFmtId="0">
      <sharedItems count="2">
        <s v="Paid"/>
        <s v="Partial"/>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Sri Wahyuni" refreshedDate="46209.463968055556" createdVersion="4" refreshedVersion="4" minRefreshableVersion="3" recordCount="8">
  <cacheSource type="worksheet">
    <worksheetSource name="tblARAging"/>
  </cacheSource>
  <cacheFields count="8">
    <cacheField name="Invoice" numFmtId="0">
      <sharedItems/>
    </cacheField>
    <cacheField name="Customer" numFmtId="0">
      <sharedItems/>
    </cacheField>
    <cacheField name="Invoice Date" numFmtId="166">
      <sharedItems containsSemiMixedTypes="0" containsNonDate="0" containsDate="1" containsString="0" minDate="2026-02-01T00:00:00" maxDate="2026-02-27T00:00:00"/>
    </cacheField>
    <cacheField name="Due Date" numFmtId="166">
      <sharedItems containsSemiMixedTypes="0" containsNonDate="0" containsDate="1" containsString="0" minDate="2026-02-18T00:00:00" maxDate="2026-03-29T00:00:00"/>
    </cacheField>
    <cacheField name="Days Overdue" numFmtId="1">
      <sharedItems containsSemiMixedTypes="0" containsString="0" containsNumber="1" containsInteger="1" minValue="100" maxValue="138"/>
    </cacheField>
    <cacheField name="Outstanding" numFmtId="164">
      <sharedItems containsSemiMixedTypes="0" containsString="0" containsNumber="1" containsInteger="1" minValue="2300000" maxValue="6000000"/>
    </cacheField>
    <cacheField name="Aging Category" numFmtId="0">
      <sharedItems count="1">
        <s v="&gt;60 Days"/>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Sri Wahyuni" refreshedDate="46209.466043055552" createdVersion="4" refreshedVersion="4" minRefreshableVersion="3" recordCount="4">
  <cacheSource type="worksheet">
    <worksheetSource name="Table1012"/>
  </cacheSource>
  <cacheFields count="8">
    <cacheField name="Invoice" numFmtId="0">
      <sharedItems/>
    </cacheField>
    <cacheField name="Suplier" numFmtId="0">
      <sharedItems/>
    </cacheField>
    <cacheField name="Invoice Date" numFmtId="166">
      <sharedItems containsSemiMixedTypes="0" containsNonDate="0" containsDate="1" containsString="0" minDate="2026-02-02T00:00:00" maxDate="2026-02-16T00:00:00"/>
    </cacheField>
    <cacheField name="Due Date" numFmtId="166">
      <sharedItems containsSemiMixedTypes="0" containsNonDate="0" containsDate="1" containsString="0" minDate="2026-02-27T00:00:00" maxDate="2026-03-18T00:00:00"/>
    </cacheField>
    <cacheField name="Outstanding" numFmtId="164">
      <sharedItems containsSemiMixedTypes="0" containsString="0" containsNumber="1" containsInteger="1" minValue="0" maxValue="850000"/>
    </cacheField>
    <cacheField name="Days Overdue" numFmtId="1">
      <sharedItems containsSemiMixedTypes="0" containsString="0" containsNumber="1" containsInteger="1" minValue="111" maxValue="129"/>
    </cacheField>
    <cacheField name="Aging Category" numFmtId="0">
      <sharedItems count="2">
        <s v=""/>
        <s v="Over 90 Days"/>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
  <r>
    <s v="AR001"/>
    <d v="2026-02-01T00:00:00"/>
    <x v="0"/>
    <n v="30"/>
    <d v="2026-03-03T00:00:00"/>
    <n v="5500000"/>
    <n v="2000000"/>
    <n v="3500000"/>
    <x v="0"/>
  </r>
  <r>
    <s v="AR002"/>
    <d v="2026-02-04T00:00:00"/>
    <x v="1"/>
    <n v="14"/>
    <d v="2026-02-18T00:00:00"/>
    <n v="3800000"/>
    <n v="1300000"/>
    <n v="2500000"/>
    <x v="0"/>
  </r>
  <r>
    <s v="AR003"/>
    <d v="2026-02-08T00:00:00"/>
    <x v="2"/>
    <n v="30"/>
    <d v="2026-03-10T00:00:00"/>
    <n v="7200000"/>
    <n v="2700000"/>
    <n v="4500000"/>
    <x v="0"/>
  </r>
  <r>
    <s v="AR004"/>
    <d v="2026-02-10T00:00:00"/>
    <x v="3"/>
    <n v="21"/>
    <d v="2026-03-03T00:00:00"/>
    <n v="2300000"/>
    <n v="0"/>
    <n v="2300000"/>
    <x v="1"/>
  </r>
  <r>
    <s v="AR005"/>
    <d v="2026-02-14T00:00:00"/>
    <x v="4"/>
    <n v="30"/>
    <d v="2026-03-16T00:00:00"/>
    <n v="6000000"/>
    <n v="0"/>
    <n v="6000000"/>
    <x v="1"/>
  </r>
  <r>
    <s v="AR006"/>
    <d v="2026-02-18T00:00:00"/>
    <x v="0"/>
    <n v="30"/>
    <d v="2026-03-20T00:00:00"/>
    <n v="4100000"/>
    <n v="0"/>
    <n v="4100000"/>
    <x v="1"/>
  </r>
  <r>
    <s v="AR007"/>
    <d v="2026-02-22T00:00:00"/>
    <x v="1"/>
    <n v="14"/>
    <d v="2026-03-08T00:00:00"/>
    <n v="2700000"/>
    <n v="0"/>
    <n v="2700000"/>
    <x v="1"/>
  </r>
  <r>
    <s v="AR008"/>
    <d v="2026-02-26T00:00:00"/>
    <x v="4"/>
    <n v="30"/>
    <d v="2026-03-28T00:00:00"/>
    <n v="5800000"/>
    <n v="0"/>
    <n v="5800000"/>
    <x v="1"/>
  </r>
</pivotCacheRecords>
</file>

<file path=xl/pivotCache/pivotCacheRecords2.xml><?xml version="1.0" encoding="utf-8"?>
<pivotCacheRecords xmlns="http://schemas.openxmlformats.org/spreadsheetml/2006/main" xmlns:r="http://schemas.openxmlformats.org/officeDocument/2006/relationships" count="4">
  <r>
    <s v="AP001"/>
    <d v="2026-02-02T00:00:00"/>
    <x v="0"/>
    <n v="30"/>
    <d v="2026-03-04T00:00:00"/>
    <s v="A4 Paper"/>
    <n v="100"/>
    <n v="55000"/>
    <n v="5500000"/>
    <n v="5500000"/>
    <n v="0"/>
    <x v="0"/>
  </r>
  <r>
    <s v="AP002"/>
    <d v="2026-02-06T00:00:00"/>
    <x v="1"/>
    <n v="21"/>
    <d v="2026-02-27T00:00:00"/>
    <s v="Ballpoint Pen"/>
    <n v="500"/>
    <n v="4500"/>
    <n v="2250000"/>
    <n v="2250000"/>
    <n v="0"/>
    <x v="0"/>
  </r>
  <r>
    <s v="AP003"/>
    <d v="2026-02-12T00:00:00"/>
    <x v="2"/>
    <n v="30"/>
    <d v="2026-03-14T00:00:00"/>
    <s v="Notebook A5"/>
    <n v="150"/>
    <n v="18000"/>
    <n v="2700000"/>
    <n v="2700000"/>
    <n v="0"/>
    <x v="0"/>
  </r>
  <r>
    <s v="AP004"/>
    <d v="2026-02-15T00:00:00"/>
    <x v="0"/>
    <n v="30"/>
    <d v="2026-03-17T00:00:00"/>
    <s v="Printer Ink"/>
    <n v="30"/>
    <n v="95000"/>
    <n v="2850000"/>
    <n v="2000000"/>
    <n v="850000"/>
    <x v="1"/>
  </r>
</pivotCacheRecords>
</file>

<file path=xl/pivotCache/pivotCacheRecords3.xml><?xml version="1.0" encoding="utf-8"?>
<pivotCacheRecords xmlns="http://schemas.openxmlformats.org/spreadsheetml/2006/main" xmlns:r="http://schemas.openxmlformats.org/officeDocument/2006/relationships" count="8">
  <r>
    <s v="AR001"/>
    <s v="PT Maju Bersama"/>
    <d v="2026-02-01T00:00:00"/>
    <d v="2026-03-03T00:00:00"/>
    <n v="125"/>
    <n v="3500000"/>
    <x v="0"/>
    <s v="Partial"/>
  </r>
  <r>
    <s v="AR002"/>
    <s v="PT Sentosa Abadi"/>
    <d v="2026-02-04T00:00:00"/>
    <d v="2026-02-18T00:00:00"/>
    <n v="138"/>
    <n v="2500000"/>
    <x v="0"/>
    <s v="Partial"/>
  </r>
  <r>
    <s v="AR003"/>
    <s v="PT Global Stationery"/>
    <d v="2026-02-08T00:00:00"/>
    <d v="2026-03-10T00:00:00"/>
    <n v="118"/>
    <n v="4500000"/>
    <x v="0"/>
    <s v="Partial"/>
  </r>
  <r>
    <s v="AR004"/>
    <s v="CV Sumber Jaya"/>
    <d v="2026-02-10T00:00:00"/>
    <d v="2026-03-03T00:00:00"/>
    <n v="125"/>
    <n v="2300000"/>
    <x v="0"/>
    <s v="Open"/>
  </r>
  <r>
    <s v="AR005"/>
    <s v="PT Prima Office"/>
    <d v="2026-02-14T00:00:00"/>
    <d v="2026-03-16T00:00:00"/>
    <n v="112"/>
    <n v="6000000"/>
    <x v="0"/>
    <s v="Open"/>
  </r>
  <r>
    <s v="AR006"/>
    <s v="PT Maju Bersama"/>
    <d v="2026-02-18T00:00:00"/>
    <d v="2026-03-20T00:00:00"/>
    <n v="108"/>
    <n v="4100000"/>
    <x v="0"/>
    <s v="Open"/>
  </r>
  <r>
    <s v="AR007"/>
    <s v="PT Sentosa Abadi"/>
    <d v="2026-02-22T00:00:00"/>
    <d v="2026-03-08T00:00:00"/>
    <n v="120"/>
    <n v="2700000"/>
    <x v="0"/>
    <s v="Open"/>
  </r>
  <r>
    <s v="AR008"/>
    <s v="PT Prima Office"/>
    <d v="2026-02-26T00:00:00"/>
    <d v="2026-03-28T00:00:00"/>
    <n v="100"/>
    <n v="5800000"/>
    <x v="0"/>
    <s v="Open"/>
  </r>
</pivotCacheRecords>
</file>

<file path=xl/pivotCache/pivotCacheRecords4.xml><?xml version="1.0" encoding="utf-8"?>
<pivotCacheRecords xmlns="http://schemas.openxmlformats.org/spreadsheetml/2006/main" xmlns:r="http://schemas.openxmlformats.org/officeDocument/2006/relationships" count="4">
  <r>
    <s v="AP001"/>
    <s v="PT Kertas Indonesia"/>
    <d v="2026-02-02T00:00:00"/>
    <d v="2026-03-04T00:00:00"/>
    <n v="0"/>
    <n v="124"/>
    <x v="0"/>
    <s v="Paid"/>
  </r>
  <r>
    <s v="AP002"/>
    <s v="PT Pena Nusantara"/>
    <d v="2026-02-06T00:00:00"/>
    <d v="2026-02-27T00:00:00"/>
    <n v="0"/>
    <n v="129"/>
    <x v="0"/>
    <s v="Paid"/>
  </r>
  <r>
    <s v="AP003"/>
    <s v="PT Office Supply"/>
    <d v="2026-02-12T00:00:00"/>
    <d v="2026-03-14T00:00:00"/>
    <n v="0"/>
    <n v="114"/>
    <x v="0"/>
    <s v="Paid"/>
  </r>
  <r>
    <s v="AP004"/>
    <s v="PT Kertas Indonesia"/>
    <d v="2026-02-15T00:00:00"/>
    <d v="2026-03-17T00:00:00"/>
    <n v="850000"/>
    <n v="111"/>
    <x v="1"/>
    <s v="Parti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Sales per Customer">
  <location ref="A1:B7" firstHeaderRow="1" firstDataRow="1" firstDataCol="1"/>
  <pivotFields count="9">
    <pivotField showAll="0"/>
    <pivotField numFmtId="16" showAll="0"/>
    <pivotField axis="axisRow" showAll="0">
      <items count="6">
        <item x="3"/>
        <item x="2"/>
        <item x="0"/>
        <item x="4"/>
        <item x="1"/>
        <item t="default"/>
      </items>
    </pivotField>
    <pivotField showAll="0"/>
    <pivotField numFmtId="16" showAll="0"/>
    <pivotField dataField="1" numFmtId="164" showAll="0"/>
    <pivotField numFmtId="164" showAll="0"/>
    <pivotField numFmtId="164" showAll="0"/>
    <pivotField showAll="0">
      <items count="3">
        <item x="1"/>
        <item x="0"/>
        <item t="default"/>
      </items>
    </pivotField>
  </pivotFields>
  <rowFields count="1">
    <field x="2"/>
  </rowFields>
  <rowItems count="6">
    <i>
      <x/>
    </i>
    <i>
      <x v="1"/>
    </i>
    <i>
      <x v="2"/>
    </i>
    <i>
      <x v="3"/>
    </i>
    <i>
      <x v="4"/>
    </i>
    <i t="grand">
      <x/>
    </i>
  </rowItems>
  <colItems count="1">
    <i/>
  </colItems>
  <dataFields count="1">
    <dataField name="Sum of Amount" fld="5" baseField="0" baseItem="0"/>
  </dataFields>
  <formats count="1">
    <format dxfId="1">
      <pivotArea collapsedLevelsAreSubtotals="1" fieldPosition="0">
        <references count="1">
          <reference field="2" count="0"/>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7:G8" firstHeaderRow="1" firstDataRow="1" firstDataCol="0"/>
  <pivotFields count="12">
    <pivotField showAll="0"/>
    <pivotField numFmtId="16" showAll="0"/>
    <pivotField showAll="0"/>
    <pivotField showAll="0"/>
    <pivotField numFmtId="16" showAll="0"/>
    <pivotField showAll="0"/>
    <pivotField showAll="0"/>
    <pivotField numFmtId="164" showAll="0"/>
    <pivotField dataField="1" numFmtId="164" showAll="0"/>
    <pivotField numFmtId="164" showAll="0"/>
    <pivotField numFmtId="164" showAll="0"/>
    <pivotField showAll="0"/>
  </pivotFields>
  <rowItems count="1">
    <i/>
  </rowItems>
  <colItems count="1">
    <i/>
  </colItems>
  <dataFields count="1">
    <dataField name="Sum of Total" fld="8"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5:G6" firstHeaderRow="1" firstDataRow="1" firstDataCol="0"/>
  <pivotFields count="9">
    <pivotField showAll="0"/>
    <pivotField numFmtId="16" showAll="0"/>
    <pivotField showAll="0"/>
    <pivotField showAll="0"/>
    <pivotField numFmtId="16" showAll="0"/>
    <pivotField dataField="1" numFmtId="164" showAll="0"/>
    <pivotField numFmtId="164" showAll="0"/>
    <pivotField numFmtId="164" showAll="0"/>
    <pivotField showAll="0"/>
  </pivotFields>
  <rowItems count="1">
    <i/>
  </rowItems>
  <colItems count="1">
    <i/>
  </colItems>
  <dataFields count="1">
    <dataField name="Sum of Amount" fld="5"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E22:F25" firstHeaderRow="1" firstDataRow="1" firstDataCol="1"/>
  <pivotFields count="8">
    <pivotField showAll="0"/>
    <pivotField showAll="0"/>
    <pivotField numFmtId="166" showAll="0"/>
    <pivotField numFmtId="166" showAll="0"/>
    <pivotField dataField="1" numFmtId="164" showAll="0"/>
    <pivotField numFmtId="1" showAll="0"/>
    <pivotField axis="axisRow" showAll="0">
      <items count="3">
        <item x="0"/>
        <item x="1"/>
        <item t="default"/>
      </items>
    </pivotField>
    <pivotField showAll="0"/>
  </pivotFields>
  <rowFields count="1">
    <field x="6"/>
  </rowFields>
  <rowItems count="3">
    <i>
      <x/>
    </i>
    <i>
      <x v="1"/>
    </i>
    <i t="grand">
      <x/>
    </i>
  </rowItems>
  <colItems count="1">
    <i/>
  </colItems>
  <dataFields count="1">
    <dataField name="Sum of Outstanding"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Purchase per Supplier">
  <location ref="D1:E5" firstHeaderRow="1" firstDataRow="1" firstDataCol="1"/>
  <pivotFields count="12">
    <pivotField showAll="0"/>
    <pivotField numFmtId="16" showAll="0"/>
    <pivotField axis="axisRow" showAll="0">
      <items count="4">
        <item x="0"/>
        <item x="2"/>
        <item x="1"/>
        <item t="default"/>
      </items>
    </pivotField>
    <pivotField showAll="0"/>
    <pivotField numFmtId="16" showAll="0"/>
    <pivotField showAll="0"/>
    <pivotField showAll="0"/>
    <pivotField numFmtId="164" showAll="0"/>
    <pivotField dataField="1" numFmtId="164" showAll="0"/>
    <pivotField numFmtId="164" showAll="0"/>
    <pivotField numFmtId="164" showAll="0"/>
    <pivotField showAll="0"/>
  </pivotFields>
  <rowFields count="1">
    <field x="2"/>
  </rowFields>
  <rowItems count="4">
    <i>
      <x/>
    </i>
    <i>
      <x v="1"/>
    </i>
    <i>
      <x v="2"/>
    </i>
    <i t="grand">
      <x/>
    </i>
  </rowItems>
  <colItems count="1">
    <i/>
  </colItems>
  <dataFields count="1">
    <dataField name="Sum of Total" fld="8" baseField="0" baseItem="0"/>
  </dataFields>
  <formats count="1">
    <format dxfId="4">
      <pivotArea collapsedLevelsAreSubtotals="1" fieldPosition="0">
        <references count="1">
          <reference field="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1:G2" firstHeaderRow="1" firstDataRow="1" firstDataCol="0"/>
  <pivotFields count="9">
    <pivotField showAll="0"/>
    <pivotField numFmtId="16" showAll="0"/>
    <pivotField showAll="0"/>
    <pivotField showAll="0"/>
    <pivotField numFmtId="16" showAll="0"/>
    <pivotField numFmtId="164" showAll="0"/>
    <pivotField numFmtId="164" showAll="0"/>
    <pivotField dataField="1" numFmtId="164" showAll="0"/>
    <pivotField showAll="0"/>
  </pivotFields>
  <rowItems count="1">
    <i/>
  </rowItems>
  <colItems count="1">
    <i/>
  </colItems>
  <dataFields count="1">
    <dataField name="Sum of Outstanding" fld="7"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G4" firstHeaderRow="1" firstDataRow="1" firstDataCol="0"/>
  <pivotFields count="12">
    <pivotField showAll="0"/>
    <pivotField numFmtId="16" showAll="0"/>
    <pivotField showAll="0"/>
    <pivotField showAll="0"/>
    <pivotField numFmtId="16" showAll="0"/>
    <pivotField showAll="0"/>
    <pivotField showAll="0"/>
    <pivotField numFmtId="164" showAll="0"/>
    <pivotField numFmtId="164" showAll="0"/>
    <pivotField numFmtId="164" showAll="0"/>
    <pivotField dataField="1" numFmtId="164" showAll="0"/>
    <pivotField showAll="0"/>
  </pivotFields>
  <rowItems count="1">
    <i/>
  </rowItems>
  <colItems count="1">
    <i/>
  </colItems>
  <dataFields count="1">
    <dataField name="Sum of Outstanding" fld="10"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AP Status">
  <location ref="D11:E14" firstHeaderRow="1" firstDataRow="1" firstDataCol="1"/>
  <pivotFields count="12">
    <pivotField showAll="0"/>
    <pivotField dataField="1" numFmtId="16" showAll="0"/>
    <pivotField showAll="0"/>
    <pivotField showAll="0"/>
    <pivotField numFmtId="16" showAll="0"/>
    <pivotField showAll="0"/>
    <pivotField showAll="0"/>
    <pivotField numFmtId="164" showAll="0"/>
    <pivotField numFmtId="164" showAll="0"/>
    <pivotField numFmtId="164" showAll="0"/>
    <pivotField numFmtId="164" showAll="0"/>
    <pivotField axis="axisRow" showAll="0">
      <items count="3">
        <item x="0"/>
        <item x="1"/>
        <item t="default"/>
      </items>
    </pivotField>
  </pivotFields>
  <rowFields count="1">
    <field x="11"/>
  </rowFields>
  <rowItems count="3">
    <i>
      <x/>
    </i>
    <i>
      <x v="1"/>
    </i>
    <i t="grand">
      <x/>
    </i>
  </rowItems>
  <colItems count="1">
    <i/>
  </colItems>
  <dataFields count="1">
    <dataField name="Count of Dat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AR Status">
  <location ref="A12:B15" firstHeaderRow="1" firstDataRow="1" firstDataCol="1"/>
  <pivotFields count="9">
    <pivotField dataField="1" showAll="0"/>
    <pivotField numFmtId="16" showAll="0"/>
    <pivotField showAll="0"/>
    <pivotField showAll="0"/>
    <pivotField numFmtId="16" showAll="0"/>
    <pivotField numFmtId="164" showAll="0"/>
    <pivotField numFmtId="164" showAll="0"/>
    <pivotField numFmtId="164" showAll="0"/>
    <pivotField axis="axisRow" showAll="0">
      <items count="3">
        <item x="1"/>
        <item x="0"/>
        <item t="default"/>
      </items>
    </pivotField>
  </pivotFields>
  <rowFields count="1">
    <field x="8"/>
  </rowFields>
  <rowItems count="3">
    <i>
      <x/>
    </i>
    <i>
      <x v="1"/>
    </i>
    <i t="grand">
      <x/>
    </i>
  </rowItems>
  <colItems count="1">
    <i/>
  </colItems>
  <dataFields count="1">
    <dataField name="Count of Invoic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E18:F20" firstHeaderRow="1" firstDataRow="1" firstDataCol="1"/>
  <pivotFields count="8">
    <pivotField showAll="0"/>
    <pivotField showAll="0"/>
    <pivotField numFmtId="166" showAll="0"/>
    <pivotField numFmtId="166" showAll="0"/>
    <pivotField numFmtId="1" showAll="0"/>
    <pivotField dataField="1" numFmtId="164" showAll="0"/>
    <pivotField axis="axisRow" showAll="0">
      <items count="2">
        <item x="0"/>
        <item t="default"/>
      </items>
    </pivotField>
    <pivotField showAll="0"/>
  </pivotFields>
  <rowFields count="1">
    <field x="6"/>
  </rowFields>
  <rowItems count="2">
    <i>
      <x/>
    </i>
    <i t="grand">
      <x/>
    </i>
  </rowItems>
  <colItems count="1">
    <i/>
  </colItems>
  <dataFields count="1">
    <dataField name="Sum of Outstanding"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 sourceName="Customer">
  <pivotTables>
    <pivotTable tabId="11" name="PivotTable1"/>
  </pivotTables>
  <data>
    <tabular pivotCacheId="1">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pplier" sourceName="Supplier">
  <pivotTables>
    <pivotTable tabId="11" name="PivotTable3"/>
  </pivotTables>
  <data>
    <tabular pivotCacheId="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cache="Slicer_Customer" caption="Customer" rowHeight="241300"/>
  <slicer name="Supplier" cache="Slicer_Supplier" caption="Supplier" rowHeight="241300"/>
</slicers>
</file>

<file path=xl/tables/table1.xml><?xml version="1.0" encoding="utf-8"?>
<table xmlns="http://schemas.openxmlformats.org/spreadsheetml/2006/main" id="13" name="tblItem" displayName="tblItem" ref="A1:E6" totalsRowShown="0" headerRowDxfId="68">
  <autoFilter ref="A1:E6"/>
  <tableColumns count="5">
    <tableColumn id="1" name="Item Code"/>
    <tableColumn id="2" name="Item Name"/>
    <tableColumn id="3" name="Unit Cost" dataDxfId="67" dataCellStyle="Comma"/>
    <tableColumn id="4" name="Selling Price" dataDxfId="66" dataCellStyle="Comma"/>
    <tableColumn id="5" name="Opening Stock"/>
  </tableColumns>
  <tableStyleInfo name="TableStyleMedium16" showFirstColumn="0" showLastColumn="0" showRowStripes="1" showColumnStripes="0"/>
</table>
</file>

<file path=xl/tables/table2.xml><?xml version="1.0" encoding="utf-8"?>
<table xmlns="http://schemas.openxmlformats.org/spreadsheetml/2006/main" id="12" name="tblCustomer" displayName="tblCustomer" ref="A1:D6" totalsRowShown="0" headerRowDxfId="65">
  <autoFilter ref="A1:D6"/>
  <tableColumns count="4">
    <tableColumn id="1" name="Customer ID"/>
    <tableColumn id="2" name="Customer Name"/>
    <tableColumn id="3" name="City"/>
    <tableColumn id="4" name="Credit Term"/>
  </tableColumns>
  <tableStyleInfo name="TableStyleMedium16" showFirstColumn="0" showLastColumn="0" showRowStripes="1" showColumnStripes="0"/>
</table>
</file>

<file path=xl/tables/table3.xml><?xml version="1.0" encoding="utf-8"?>
<table xmlns="http://schemas.openxmlformats.org/spreadsheetml/2006/main" id="3" name="tblSuppliers" displayName="tblSuppliers" ref="A1:D4" totalsRowShown="0" headerRowDxfId="64">
  <autoFilter ref="A1:D4"/>
  <tableColumns count="4">
    <tableColumn id="1" name="Supplier ID"/>
    <tableColumn id="2" name="Supplier Name"/>
    <tableColumn id="4" name="City"/>
    <tableColumn id="3" name="Payment Term"/>
  </tableColumns>
  <tableStyleInfo name="TableStyleMedium16" showFirstColumn="0" showLastColumn="0" showRowStripes="1" showColumnStripes="0"/>
</table>
</file>

<file path=xl/tables/table4.xml><?xml version="1.0" encoding="utf-8"?>
<table xmlns="http://schemas.openxmlformats.org/spreadsheetml/2006/main" id="5" name="tblSales" displayName="tblSales" ref="A2:I10" totalsRowShown="0" headerRowDxfId="60">
  <autoFilter ref="A2:I10"/>
  <tableColumns count="9">
    <tableColumn id="1" name="Invoice"/>
    <tableColumn id="2" name="Date" dataDxfId="59"/>
    <tableColumn id="3" name="Customer"/>
    <tableColumn id="7" name="Credit Term" dataDxfId="58">
      <calculatedColumnFormula>VLOOKUP(tblSales[[#This Row],[Customer]],tblCustomer[[#All],[Customer Name]:[Credit Term]],3,0)</calculatedColumnFormula>
    </tableColumn>
    <tableColumn id="4" name="Due Date" dataDxfId="57">
      <calculatedColumnFormula>tblSales[[#This Row],[Date]]+tblSales[[#This Row],[Credit Term]]</calculatedColumnFormula>
    </tableColumn>
    <tableColumn id="5" name="Amount" dataDxfId="56" dataCellStyle="Comma"/>
    <tableColumn id="8" name="Payment Received" dataDxfId="55" dataCellStyle="Comma">
      <calculatedColumnFormula>SUMIFS(tblPayment[[#All],[Amount Paid]],tblPayment[[#All],[Invoice]],tblPayment[[#This Row],[Invoice]])</calculatedColumnFormula>
    </tableColumn>
    <tableColumn id="9" name="Outstanding" dataDxfId="54" dataCellStyle="Comma">
      <calculatedColumnFormula>tblSales[[#This Row],[Amount]]-tblSales[[#This Row],[Payment Received]]</calculatedColumnFormula>
    </tableColumn>
    <tableColumn id="6" name="Status">
      <calculatedColumnFormula>IF(H3=0,"Paid",IF(G3=0,"Open","Partial"))</calculatedColumnFormula>
    </tableColumn>
  </tableColumns>
  <tableStyleInfo name="TableStyleMedium16" showFirstColumn="0" showLastColumn="0" showRowStripes="1" showColumnStripes="0"/>
</table>
</file>

<file path=xl/tables/table5.xml><?xml version="1.0" encoding="utf-8"?>
<table xmlns="http://schemas.openxmlformats.org/spreadsheetml/2006/main" id="6" name="tblPayment" displayName="tblPayment" ref="A2:E5" totalsRowShown="0" headerRowDxfId="53">
  <autoFilter ref="A2:E5"/>
  <tableColumns count="5">
    <tableColumn id="1" name="Receipt"/>
    <tableColumn id="2" name=" Paymnet Date" dataDxfId="52"/>
    <tableColumn id="3" name="Invoice"/>
    <tableColumn id="5" name="Customer Name" dataDxfId="51">
      <calculatedColumnFormula>VLOOKUP(tblPayment[[#This Row],[Invoice]],tblSales[[#All],[Invoice]:[Customer]],3,0)</calculatedColumnFormula>
    </tableColumn>
    <tableColumn id="4" name="Amount Paid" dataDxfId="50" dataCellStyle="Comma"/>
  </tableColumns>
  <tableStyleInfo name="TableStyleMedium16" showFirstColumn="0" showLastColumn="0" showRowStripes="1" showColumnStripes="0"/>
</table>
</file>

<file path=xl/tables/table6.xml><?xml version="1.0" encoding="utf-8"?>
<table xmlns="http://schemas.openxmlformats.org/spreadsheetml/2006/main" id="7" name="tblPurchase" displayName="tblPurchase" ref="A2:L6" totalsRowShown="0" headerRowDxfId="49">
  <autoFilter ref="A2:L6"/>
  <tableColumns count="12">
    <tableColumn id="1" name="Invoice"/>
    <tableColumn id="2" name="Date" dataDxfId="48"/>
    <tableColumn id="3" name="Supplier"/>
    <tableColumn id="7" name="Payment Term" dataDxfId="47">
      <calculatedColumnFormula>VLOOKUP(tblPurchase[[#This Row],[Supplier]],tblSuppliers[[#All],[Supplier Name]:[Payment Term]],3,0)</calculatedColumnFormula>
    </tableColumn>
    <tableColumn id="4" name="Due Date" dataDxfId="46">
      <calculatedColumnFormula>tblPurchase[[#This Row],[Date]]+tblPurchase[[#This Row],[Payment Term]]</calculatedColumnFormula>
    </tableColumn>
    <tableColumn id="8" name="Item"/>
    <tableColumn id="9" name="Qty"/>
    <tableColumn id="10" name="Unit Cost" dataDxfId="45" dataCellStyle="Comma">
      <calculatedColumnFormula>VLOOKUP(tblPurchase[[#This Row],[Item]],tblItem[[Item Name]:[Unit Cost]],2,0)</calculatedColumnFormula>
    </tableColumn>
    <tableColumn id="5" name="Total" dataDxfId="44" dataCellStyle="Comma">
      <calculatedColumnFormula>tblPurchase[[#This Row],[Qty]]*tblPurchase[[#This Row],[Unit Cost]]</calculatedColumnFormula>
    </tableColumn>
    <tableColumn id="12" name="Payment Made" dataDxfId="43" dataCellStyle="Comma">
      <calculatedColumnFormula>SUMIFS(tblSupplierpay[Amount Paid],tblSupplierpay[Invoice],tblPurchase[[#This Row],[Invoice]])</calculatedColumnFormula>
    </tableColumn>
    <tableColumn id="11" name="Outstanding" dataDxfId="42" dataCellStyle="Comma">
      <calculatedColumnFormula>tblPurchase[[#This Row],[Total]]-tblPurchase[[#This Row],[Payment Made]]</calculatedColumnFormula>
    </tableColumn>
    <tableColumn id="6" name="Status">
      <calculatedColumnFormula>IF(tblPurchase[[#This Row],[Outstanding]]=0,"Paid",IF(tblPurchase[[#This Row],[Payment Made]]=0,"Open","Partial"))</calculatedColumnFormula>
    </tableColumn>
  </tableColumns>
  <tableStyleInfo name="TableStyleMedium16" showFirstColumn="0" showLastColumn="0" showRowStripes="1" showColumnStripes="0"/>
</table>
</file>

<file path=xl/tables/table7.xml><?xml version="1.0" encoding="utf-8"?>
<table xmlns="http://schemas.openxmlformats.org/spreadsheetml/2006/main" id="14" name="tblSupplierpay" displayName="tblSupplierpay" ref="A2:H7" totalsRowShown="0" headerRowDxfId="38">
  <autoFilter ref="A2:H7"/>
  <tableColumns count="8">
    <tableColumn id="1" name="Payment No"/>
    <tableColumn id="2" name="Payment Date" dataDxfId="37"/>
    <tableColumn id="3" name="Invoice"/>
    <tableColumn id="4" name="Supplier">
      <calculatedColumnFormula>VLOOKUP(tblSupplierpay[[#This Row],[Invoice]],tblPurchase[[Invoice]:[Supplier]],3,0)</calculatedColumnFormula>
    </tableColumn>
    <tableColumn id="8" name="Invoice Total" dataDxfId="36" dataCellStyle="Comma">
      <calculatedColumnFormula>VLOOKUP(tblSupplierpay[[#This Row],[Invoice]],tblPurchase[[Invoice]:[Total]],9,0)</calculatedColumnFormula>
    </tableColumn>
    <tableColumn id="5" name="Amount Paid" dataDxfId="35" dataCellStyle="Comma"/>
    <tableColumn id="6" name="Payment Method"/>
    <tableColumn id="7" name="Reference"/>
  </tableColumns>
  <tableStyleInfo name="TableStyleMedium16" showFirstColumn="0" showLastColumn="0" showRowStripes="1" showColumnStripes="0"/>
</table>
</file>

<file path=xl/tables/table8.xml><?xml version="1.0" encoding="utf-8"?>
<table xmlns="http://schemas.openxmlformats.org/spreadsheetml/2006/main" id="10" name="tblARAging" displayName="tblARAging" ref="A6:H14" totalsRowShown="0" headerRowDxfId="28">
  <autoFilter ref="A6:H14"/>
  <tableColumns count="8">
    <tableColumn id="7" name="Invoice"/>
    <tableColumn id="1" name="Customer">
      <calculatedColumnFormula>VLOOKUP(tblARAging[Invoice],tblSales[[#All],[Invoice]:[Customer]],3,0)</calculatedColumnFormula>
    </tableColumn>
    <tableColumn id="8" name="Invoice Date" dataDxfId="27">
      <calculatedColumnFormula>VLOOKUP(tblARAging[[#This Row],[Invoice]],tblSales[[#All],[Invoice]:[Date]],2,0)</calculatedColumnFormula>
    </tableColumn>
    <tableColumn id="9" name="Due Date" dataDxfId="26">
      <calculatedColumnFormula>VLOOKUP(tblARAging[[#This Row],[Invoice]],tblSales[[#All],[Invoice]:[Due Date]],5,0)</calculatedColumnFormula>
    </tableColumn>
    <tableColumn id="10" name="Days Overdue" dataDxfId="25">
      <calculatedColumnFormula>MAX(0,TODAY()-tblARAging[[#This Row],[Due Date]])</calculatedColumnFormula>
    </tableColumn>
    <tableColumn id="2" name="Outstanding" dataDxfId="24" dataCellStyle="Comma">
      <calculatedColumnFormula>VLOOKUP(tblARAging[[#This Row],[Invoice]],tblSales[[#All],[Invoice]:[Outstanding]],8,0)</calculatedColumnFormula>
    </tableColumn>
    <tableColumn id="11" name="Aging Category">
      <calculatedColumnFormula>IF(tblARAging[Days Overdue]=0,"Current", IF(tblARAging[Days Overdue]&lt;=30,"1-30 Days",IF(tblARAging[Days Overdue]&lt;=60,"31-60 Days","&gt;60 Days")))</calculatedColumnFormula>
    </tableColumn>
    <tableColumn id="13" name="Status" dataDxfId="23">
      <calculatedColumnFormula>VLOOKUP(tblARAging[[#This Row],[Invoice]],tblSales[#All],9,0)</calculatedColumnFormula>
    </tableColumn>
  </tableColumns>
  <tableStyleInfo name="TableStyleMedium16" showFirstColumn="0" showLastColumn="0" showRowStripes="1" showColumnStripes="0"/>
</table>
</file>

<file path=xl/tables/table9.xml><?xml version="1.0" encoding="utf-8"?>
<table xmlns="http://schemas.openxmlformats.org/spreadsheetml/2006/main" id="11" name="Table1012" displayName="Table1012" ref="A5:H9" totalsRowShown="0" headerRowDxfId="14">
  <autoFilter ref="A5:H9"/>
  <tableColumns count="8">
    <tableColumn id="10" name="Invoice"/>
    <tableColumn id="11" name="Suplier" dataDxfId="13">
      <calculatedColumnFormula>VLOOKUP(Table1012[[#This Row],[Invoice]],tblPurchase[[#All],[Invoice]:[Supplier]],3,0)</calculatedColumnFormula>
    </tableColumn>
    <tableColumn id="7" name="Invoice Date" dataDxfId="12">
      <calculatedColumnFormula>VLOOKUP(Table1012[[#This Row],[Invoice]],tblPurchase[[#All],[Invoice]:[Date]],2,0)</calculatedColumnFormula>
    </tableColumn>
    <tableColumn id="8" name="Due Date" dataDxfId="11">
      <calculatedColumnFormula>VLOOKUP(Table1012[[#This Row],[Invoice]],tblPurchase[[#All],[Invoice]:[Due Date]],5,0)</calculatedColumnFormula>
    </tableColumn>
    <tableColumn id="2" name="Outstanding" dataDxfId="10" dataCellStyle="Comma">
      <calculatedColumnFormula>VLOOKUP(Table1012[[#This Row],[Invoice]],tblPurchase[[#All],[Invoice]:[Outstanding]],11,0)</calculatedColumnFormula>
    </tableColumn>
    <tableColumn id="9" name="Days Overdue" dataDxfId="9">
      <calculatedColumnFormula>MAX(0,TODAY()-Table1012[[#This Row],[Due Date]])</calculatedColumnFormula>
    </tableColumn>
    <tableColumn id="3" name="Aging Category" dataDxfId="8">
      <calculatedColumnFormula>IF(Table1012[[#This Row],[Outstanding]]=0,"",IF(Table1012[[#This Row],[Days Overdue]]=0,"Current",IF(Table1012[[#This Row],[Days Overdue]]&lt;=30,"1-30 Days",IF(Table1012[[#This Row],[Days Overdue]]&lt;=60,"31-60 Days",IF(Table1012[[#This Row],[Days Overdue]]&lt;90,"61-90 Days","Over 90 Days")))))</calculatedColumnFormula>
    </tableColumn>
    <tableColumn id="4" name="Status" dataDxfId="7">
      <calculatedColumnFormula>VLOOKUP(Table1012[[#This Row],[Invoice]],tblPurchase[#All],12,0)</calculatedColumnFormula>
    </tableColumn>
  </tableColumns>
  <tableStyleInfo name="TableStyleMedium16" showFirstColumn="0" showLastColumn="0" showRowStripes="1" showColumnStripes="0"/>
</table>
</file>

<file path=xl/tables/table10.xml><?xml version="1.0" encoding="utf-8"?>
<table xmlns="http://schemas.openxmlformats.org/spreadsheetml/2006/main" id="15" name="Table15" displayName="Table15" ref="A18:C25" totalsRowShown="0">
  <autoFilter ref="A18:C25"/>
  <tableColumns count="3">
    <tableColumn id="1" name="KPI"/>
    <tableColumn id="3" name="Amount" dataDxfId="0"/>
    <tableColumn id="2" name="Keteranga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0.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showGridLines="0" workbookViewId="0">
      <selection activeCell="A6" sqref="A6:K8"/>
    </sheetView>
  </sheetViews>
  <sheetFormatPr defaultRowHeight="15" x14ac:dyDescent="0.25"/>
  <cols>
    <col min="1" max="1" width="4.5703125" customWidth="1"/>
  </cols>
  <sheetData>
    <row r="1" spans="1:11" ht="23.25" x14ac:dyDescent="0.35">
      <c r="A1" s="38" t="s">
        <v>153</v>
      </c>
      <c r="B1" s="38"/>
      <c r="C1" s="38"/>
      <c r="D1" s="38"/>
      <c r="E1" s="38"/>
      <c r="F1" s="38"/>
      <c r="G1" s="38"/>
      <c r="H1" s="38"/>
      <c r="I1" s="38"/>
      <c r="J1" s="38"/>
      <c r="K1" s="38"/>
    </row>
    <row r="2" spans="1:11" x14ac:dyDescent="0.25">
      <c r="A2" s="5" t="s">
        <v>52</v>
      </c>
    </row>
    <row r="3" spans="1:11" ht="21" x14ac:dyDescent="0.35">
      <c r="A3" s="6" t="s">
        <v>53</v>
      </c>
    </row>
    <row r="5" spans="1:11" ht="18.75" x14ac:dyDescent="0.3">
      <c r="A5" s="7" t="s">
        <v>54</v>
      </c>
    </row>
    <row r="6" spans="1:11" ht="15" customHeight="1" x14ac:dyDescent="0.25">
      <c r="A6" s="39" t="s">
        <v>154</v>
      </c>
      <c r="B6" s="39"/>
      <c r="C6" s="39"/>
      <c r="D6" s="39"/>
      <c r="E6" s="39"/>
      <c r="F6" s="39"/>
      <c r="G6" s="39"/>
      <c r="H6" s="39"/>
      <c r="I6" s="39"/>
      <c r="J6" s="39"/>
      <c r="K6" s="39"/>
    </row>
    <row r="7" spans="1:11" x14ac:dyDescent="0.25">
      <c r="A7" s="39"/>
      <c r="B7" s="39"/>
      <c r="C7" s="39"/>
      <c r="D7" s="39"/>
      <c r="E7" s="39"/>
      <c r="F7" s="39"/>
      <c r="G7" s="39"/>
      <c r="H7" s="39"/>
      <c r="I7" s="39"/>
      <c r="J7" s="39"/>
      <c r="K7" s="39"/>
    </row>
    <row r="8" spans="1:11" x14ac:dyDescent="0.25">
      <c r="A8" s="39"/>
      <c r="B8" s="39"/>
      <c r="C8" s="39"/>
      <c r="D8" s="39"/>
      <c r="E8" s="39"/>
      <c r="F8" s="39"/>
      <c r="G8" s="39"/>
      <c r="H8" s="39"/>
      <c r="I8" s="39"/>
      <c r="J8" s="39"/>
      <c r="K8" s="39"/>
    </row>
    <row r="9" spans="1:11" x14ac:dyDescent="0.25">
      <c r="A9" s="26"/>
      <c r="B9" s="26"/>
      <c r="C9" s="26"/>
      <c r="D9" s="26"/>
      <c r="E9" s="26"/>
      <c r="F9" s="26"/>
      <c r="G9" s="26"/>
      <c r="H9" s="26"/>
      <c r="I9" s="26"/>
      <c r="J9" s="26"/>
      <c r="K9" s="26"/>
    </row>
    <row r="10" spans="1:11" ht="18.75" x14ac:dyDescent="0.3">
      <c r="A10" s="7" t="s">
        <v>55</v>
      </c>
    </row>
    <row r="11" spans="1:11" x14ac:dyDescent="0.25">
      <c r="A11" t="s">
        <v>56</v>
      </c>
    </row>
    <row r="12" spans="1:11" x14ac:dyDescent="0.25">
      <c r="A12" t="s">
        <v>57</v>
      </c>
    </row>
    <row r="13" spans="1:11" x14ac:dyDescent="0.25">
      <c r="A13" t="s">
        <v>58</v>
      </c>
    </row>
    <row r="14" spans="1:11" x14ac:dyDescent="0.25">
      <c r="A14" t="s">
        <v>59</v>
      </c>
    </row>
    <row r="15" spans="1:11" x14ac:dyDescent="0.25">
      <c r="A15" t="s">
        <v>60</v>
      </c>
    </row>
    <row r="16" spans="1:11" x14ac:dyDescent="0.25">
      <c r="A16" t="s">
        <v>61</v>
      </c>
    </row>
    <row r="17" spans="1:2" x14ac:dyDescent="0.25">
      <c r="A17" t="s">
        <v>62</v>
      </c>
    </row>
    <row r="18" spans="1:2" x14ac:dyDescent="0.25">
      <c r="A18" t="s">
        <v>63</v>
      </c>
    </row>
    <row r="19" spans="1:2" x14ac:dyDescent="0.25">
      <c r="A19" t="s">
        <v>64</v>
      </c>
    </row>
    <row r="21" spans="1:2" ht="18.75" x14ac:dyDescent="0.3">
      <c r="A21" s="7" t="s">
        <v>65</v>
      </c>
    </row>
    <row r="22" spans="1:2" x14ac:dyDescent="0.25">
      <c r="A22" s="8" t="s">
        <v>79</v>
      </c>
      <c r="B22" t="s">
        <v>66</v>
      </c>
    </row>
    <row r="23" spans="1:2" x14ac:dyDescent="0.25">
      <c r="A23" s="8" t="s">
        <v>79</v>
      </c>
      <c r="B23" t="s">
        <v>67</v>
      </c>
    </row>
    <row r="24" spans="1:2" x14ac:dyDescent="0.25">
      <c r="A24" s="8" t="s">
        <v>79</v>
      </c>
      <c r="B24" t="s">
        <v>68</v>
      </c>
    </row>
    <row r="25" spans="1:2" x14ac:dyDescent="0.25">
      <c r="A25" s="8" t="s">
        <v>79</v>
      </c>
      <c r="B25" t="s">
        <v>69</v>
      </c>
    </row>
    <row r="26" spans="1:2" x14ac:dyDescent="0.25">
      <c r="A26" s="8" t="s">
        <v>79</v>
      </c>
      <c r="B26" t="s">
        <v>70</v>
      </c>
    </row>
    <row r="27" spans="1:2" x14ac:dyDescent="0.25">
      <c r="A27" s="8" t="s">
        <v>79</v>
      </c>
      <c r="B27" t="s">
        <v>71</v>
      </c>
    </row>
    <row r="28" spans="1:2" x14ac:dyDescent="0.25">
      <c r="A28" s="8" t="s">
        <v>79</v>
      </c>
      <c r="B28" t="s">
        <v>72</v>
      </c>
    </row>
  </sheetData>
  <mergeCells count="2">
    <mergeCell ref="A1:K1"/>
    <mergeCell ref="A6:K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58"/>
  <sheetViews>
    <sheetView showGridLines="0" tabSelected="1" zoomScale="110" zoomScaleNormal="110" workbookViewId="0">
      <selection activeCell="I19" sqref="I19"/>
    </sheetView>
  </sheetViews>
  <sheetFormatPr defaultRowHeight="15" x14ac:dyDescent="0.25"/>
  <cols>
    <col min="2" max="2" width="19.85546875" bestFit="1" customWidth="1"/>
    <col min="3" max="4" width="19.85546875" customWidth="1"/>
    <col min="5" max="5" width="35" bestFit="1" customWidth="1"/>
    <col min="9" max="9" width="15.85546875" bestFit="1" customWidth="1"/>
    <col min="10" max="10" width="27" bestFit="1" customWidth="1"/>
  </cols>
  <sheetData>
    <row r="1" spans="2:10" ht="15" customHeight="1" x14ac:dyDescent="0.35">
      <c r="B1" s="40" t="s">
        <v>173</v>
      </c>
      <c r="C1" s="40"/>
      <c r="D1" s="40"/>
      <c r="E1" s="40"/>
      <c r="F1" s="40"/>
      <c r="G1" s="21"/>
      <c r="H1" s="21"/>
      <c r="I1" s="41" t="s">
        <v>166</v>
      </c>
      <c r="J1" s="42"/>
    </row>
    <row r="2" spans="2:10" ht="15" customHeight="1" x14ac:dyDescent="0.35">
      <c r="B2" s="40"/>
      <c r="C2" s="40"/>
      <c r="D2" s="40"/>
      <c r="E2" s="40"/>
      <c r="F2" s="40"/>
      <c r="G2" s="21"/>
      <c r="H2" s="21"/>
      <c r="I2" s="32" t="s">
        <v>52</v>
      </c>
      <c r="J2" s="32" t="s">
        <v>53</v>
      </c>
    </row>
    <row r="3" spans="2:10" ht="15" customHeight="1" x14ac:dyDescent="0.35">
      <c r="B3" s="43" t="s">
        <v>182</v>
      </c>
      <c r="C3" s="43"/>
      <c r="D3" s="43"/>
      <c r="E3" s="43"/>
      <c r="F3" s="43"/>
      <c r="G3" s="21"/>
      <c r="H3" s="21"/>
      <c r="I3" s="32" t="s">
        <v>167</v>
      </c>
      <c r="J3" s="33">
        <v>46023</v>
      </c>
    </row>
    <row r="4" spans="2:10" ht="15" customHeight="1" x14ac:dyDescent="0.35">
      <c r="B4" s="44" t="s">
        <v>174</v>
      </c>
      <c r="C4" s="44"/>
      <c r="D4" s="44"/>
      <c r="E4" s="44"/>
      <c r="F4" s="44"/>
      <c r="G4" s="21"/>
      <c r="H4" s="21"/>
      <c r="I4" s="34" t="s">
        <v>168</v>
      </c>
      <c r="J4" s="34" t="s">
        <v>169</v>
      </c>
    </row>
    <row r="5" spans="2:10" x14ac:dyDescent="0.25">
      <c r="I5" s="32" t="s">
        <v>170</v>
      </c>
      <c r="J5" s="32" t="s">
        <v>171</v>
      </c>
    </row>
    <row r="6" spans="2:10" x14ac:dyDescent="0.25">
      <c r="B6" s="13" t="s">
        <v>117</v>
      </c>
      <c r="C6" s="15" t="s">
        <v>147</v>
      </c>
      <c r="D6" s="17" t="s">
        <v>121</v>
      </c>
      <c r="E6" s="19" t="s">
        <v>148</v>
      </c>
      <c r="I6" s="32" t="s">
        <v>172</v>
      </c>
      <c r="J6" s="32" t="s">
        <v>152</v>
      </c>
    </row>
    <row r="7" spans="2:10" x14ac:dyDescent="0.25">
      <c r="B7" s="14">
        <f>GETPIVOTDATA("Amount",Summary!$G$5)</f>
        <v>37400000</v>
      </c>
      <c r="C7" s="16">
        <f>GETPIVOTDATA("Total",Summary!$G$7)</f>
        <v>13300000</v>
      </c>
      <c r="D7" s="18">
        <f>GETPIVOTDATA("Outstanding",Summary!$G$1)</f>
        <v>31400000</v>
      </c>
      <c r="E7" s="20">
        <f>GETPIVOTDATA("Outstanding",Summary!$G$3)</f>
        <v>850000</v>
      </c>
    </row>
    <row r="55" spans="2:2" ht="15.75" x14ac:dyDescent="0.25">
      <c r="B55" s="22" t="s">
        <v>149</v>
      </c>
    </row>
    <row r="56" spans="2:2" x14ac:dyDescent="0.25">
      <c r="B56" s="23" t="s">
        <v>150</v>
      </c>
    </row>
    <row r="57" spans="2:2" x14ac:dyDescent="0.25">
      <c r="B57" s="24" t="s">
        <v>151</v>
      </c>
    </row>
    <row r="58" spans="2:2" x14ac:dyDescent="0.25">
      <c r="B58" s="25" t="s">
        <v>152</v>
      </c>
    </row>
  </sheetData>
  <mergeCells count="4">
    <mergeCell ref="B1:F2"/>
    <mergeCell ref="I1:J1"/>
    <mergeCell ref="B3:F3"/>
    <mergeCell ref="B4:F4"/>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I21" sqref="I21"/>
    </sheetView>
  </sheetViews>
  <sheetFormatPr defaultRowHeight="15" x14ac:dyDescent="0.25"/>
  <cols>
    <col min="1" max="1" width="14.7109375" bestFit="1" customWidth="1"/>
    <col min="2" max="2" width="15.42578125" bestFit="1" customWidth="1"/>
    <col min="3" max="3" width="13.7109375" bestFit="1" customWidth="1"/>
    <col min="4" max="4" width="16.42578125" bestFit="1" customWidth="1"/>
    <col min="5" max="5" width="19.140625" customWidth="1"/>
  </cols>
  <sheetData>
    <row r="1" spans="1:5" x14ac:dyDescent="0.25">
      <c r="A1" s="2" t="s">
        <v>83</v>
      </c>
      <c r="B1" s="2" t="s">
        <v>84</v>
      </c>
      <c r="C1" s="2" t="s">
        <v>85</v>
      </c>
      <c r="D1" s="2" t="s">
        <v>86</v>
      </c>
      <c r="E1" s="2" t="s">
        <v>87</v>
      </c>
    </row>
    <row r="2" spans="1:5" x14ac:dyDescent="0.25">
      <c r="A2" t="s">
        <v>88</v>
      </c>
      <c r="B2" t="s">
        <v>89</v>
      </c>
      <c r="C2" s="3">
        <v>55000</v>
      </c>
      <c r="D2" s="3">
        <v>75000</v>
      </c>
      <c r="E2">
        <v>100</v>
      </c>
    </row>
    <row r="3" spans="1:5" x14ac:dyDescent="0.25">
      <c r="A3" t="s">
        <v>90</v>
      </c>
      <c r="B3" t="s">
        <v>91</v>
      </c>
      <c r="C3" s="3">
        <v>4500</v>
      </c>
      <c r="D3" s="3">
        <v>7000</v>
      </c>
      <c r="E3">
        <v>200</v>
      </c>
    </row>
    <row r="4" spans="1:5" x14ac:dyDescent="0.25">
      <c r="A4" t="s">
        <v>92</v>
      </c>
      <c r="B4" t="s">
        <v>93</v>
      </c>
      <c r="C4" s="3">
        <v>32000</v>
      </c>
      <c r="D4" s="3">
        <v>45000</v>
      </c>
      <c r="E4">
        <v>50</v>
      </c>
    </row>
    <row r="5" spans="1:5" x14ac:dyDescent="0.25">
      <c r="A5" t="s">
        <v>94</v>
      </c>
      <c r="B5" t="s">
        <v>95</v>
      </c>
      <c r="C5" s="3">
        <v>18000</v>
      </c>
      <c r="D5" s="3">
        <v>25000</v>
      </c>
      <c r="E5">
        <v>120</v>
      </c>
    </row>
    <row r="6" spans="1:5" x14ac:dyDescent="0.25">
      <c r="A6" t="s">
        <v>96</v>
      </c>
      <c r="B6" t="s">
        <v>97</v>
      </c>
      <c r="C6" s="3">
        <v>95000</v>
      </c>
      <c r="D6" s="3">
        <v>130000</v>
      </c>
      <c r="E6">
        <v>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E10" sqref="E10"/>
    </sheetView>
  </sheetViews>
  <sheetFormatPr defaultRowHeight="15" x14ac:dyDescent="0.25"/>
  <cols>
    <col min="1" max="1" width="16.42578125" bestFit="1" customWidth="1"/>
    <col min="2" max="2" width="20" bestFit="1" customWidth="1"/>
    <col min="3" max="4" width="16" bestFit="1" customWidth="1"/>
  </cols>
  <sheetData>
    <row r="1" spans="1:4" x14ac:dyDescent="0.25">
      <c r="A1" s="2" t="s">
        <v>0</v>
      </c>
      <c r="B1" s="2" t="s">
        <v>1</v>
      </c>
      <c r="C1" s="2" t="s">
        <v>73</v>
      </c>
      <c r="D1" s="2" t="s">
        <v>2</v>
      </c>
    </row>
    <row r="2" spans="1:4" x14ac:dyDescent="0.25">
      <c r="A2" t="s">
        <v>3</v>
      </c>
      <c r="B2" t="s">
        <v>4</v>
      </c>
      <c r="C2" t="s">
        <v>74</v>
      </c>
      <c r="D2">
        <v>30</v>
      </c>
    </row>
    <row r="3" spans="1:4" x14ac:dyDescent="0.25">
      <c r="A3" t="s">
        <v>5</v>
      </c>
      <c r="B3" t="s">
        <v>6</v>
      </c>
      <c r="C3" t="s">
        <v>75</v>
      </c>
      <c r="D3">
        <v>14</v>
      </c>
    </row>
    <row r="4" spans="1:4" x14ac:dyDescent="0.25">
      <c r="A4" t="s">
        <v>7</v>
      </c>
      <c r="B4" t="s">
        <v>8</v>
      </c>
      <c r="C4" t="s">
        <v>76</v>
      </c>
      <c r="D4">
        <v>30</v>
      </c>
    </row>
    <row r="5" spans="1:4" x14ac:dyDescent="0.25">
      <c r="A5" t="s">
        <v>9</v>
      </c>
      <c r="B5" t="s">
        <v>10</v>
      </c>
      <c r="C5" t="s">
        <v>77</v>
      </c>
      <c r="D5">
        <v>21</v>
      </c>
    </row>
    <row r="6" spans="1:4" x14ac:dyDescent="0.25">
      <c r="A6" t="s">
        <v>11</v>
      </c>
      <c r="B6" t="s">
        <v>12</v>
      </c>
      <c r="C6" t="s">
        <v>78</v>
      </c>
      <c r="D6">
        <v>30</v>
      </c>
    </row>
  </sheetData>
  <pageMargins left="0.7" right="0.7" top="0.75" bottom="0.75" header="0.3" footer="0.3"/>
  <pageSetup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B1" sqref="B1:B4"/>
    </sheetView>
  </sheetViews>
  <sheetFormatPr defaultRowHeight="15" x14ac:dyDescent="0.25"/>
  <cols>
    <col min="1" max="1" width="15.28515625" bestFit="1" customWidth="1"/>
    <col min="2" max="2" width="18.5703125" bestFit="1" customWidth="1"/>
    <col min="3" max="3" width="18.5703125" customWidth="1"/>
    <col min="4" max="4" width="18.5703125" bestFit="1" customWidth="1"/>
  </cols>
  <sheetData>
    <row r="1" spans="1:4" x14ac:dyDescent="0.25">
      <c r="A1" s="2" t="s">
        <v>13</v>
      </c>
      <c r="B1" s="2" t="s">
        <v>14</v>
      </c>
      <c r="C1" s="2" t="s">
        <v>73</v>
      </c>
      <c r="D1" s="2" t="s">
        <v>15</v>
      </c>
    </row>
    <row r="2" spans="1:4" x14ac:dyDescent="0.25">
      <c r="A2" t="s">
        <v>16</v>
      </c>
      <c r="B2" t="s">
        <v>17</v>
      </c>
      <c r="C2" t="s">
        <v>74</v>
      </c>
      <c r="D2">
        <v>30</v>
      </c>
    </row>
    <row r="3" spans="1:4" x14ac:dyDescent="0.25">
      <c r="A3" t="s">
        <v>18</v>
      </c>
      <c r="B3" t="s">
        <v>19</v>
      </c>
      <c r="C3" t="s">
        <v>75</v>
      </c>
      <c r="D3">
        <v>21</v>
      </c>
    </row>
    <row r="4" spans="1:4" x14ac:dyDescent="0.25">
      <c r="A4" t="s">
        <v>20</v>
      </c>
      <c r="B4" t="s">
        <v>21</v>
      </c>
      <c r="C4" t="s">
        <v>76</v>
      </c>
      <c r="D4">
        <v>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selection sqref="A1:I1"/>
    </sheetView>
  </sheetViews>
  <sheetFormatPr defaultRowHeight="15" x14ac:dyDescent="0.25"/>
  <cols>
    <col min="1" max="1" width="12" bestFit="1" customWidth="1"/>
    <col min="2" max="2" width="9.7109375" bestFit="1" customWidth="1"/>
    <col min="3" max="3" width="19.140625" bestFit="1" customWidth="1"/>
    <col min="4" max="4" width="16" bestFit="1" customWidth="1"/>
    <col min="5" max="5" width="13.7109375" bestFit="1" customWidth="1"/>
    <col min="6" max="6" width="12.7109375" bestFit="1" customWidth="1"/>
    <col min="7" max="7" width="21" bestFit="1" customWidth="1"/>
    <col min="8" max="8" width="16.42578125" bestFit="1" customWidth="1"/>
    <col min="9" max="9" width="11" bestFit="1" customWidth="1"/>
  </cols>
  <sheetData>
    <row r="1" spans="1:9" ht="23.25" x14ac:dyDescent="0.35">
      <c r="A1" s="45" t="s">
        <v>178</v>
      </c>
      <c r="B1" s="45"/>
      <c r="C1" s="45"/>
      <c r="D1" s="45"/>
      <c r="E1" s="45"/>
      <c r="F1" s="45"/>
      <c r="G1" s="45"/>
      <c r="H1" s="45"/>
      <c r="I1" s="45"/>
    </row>
    <row r="2" spans="1:9" x14ac:dyDescent="0.25">
      <c r="A2" s="2" t="s">
        <v>22</v>
      </c>
      <c r="B2" s="2" t="s">
        <v>23</v>
      </c>
      <c r="C2" s="2" t="s">
        <v>24</v>
      </c>
      <c r="D2" s="2" t="s">
        <v>2</v>
      </c>
      <c r="E2" s="2" t="s">
        <v>25</v>
      </c>
      <c r="F2" s="2" t="s">
        <v>26</v>
      </c>
      <c r="G2" s="2" t="s">
        <v>80</v>
      </c>
      <c r="H2" s="2" t="s">
        <v>51</v>
      </c>
      <c r="I2" s="2" t="s">
        <v>27</v>
      </c>
    </row>
    <row r="3" spans="1:9" x14ac:dyDescent="0.25">
      <c r="A3" t="s">
        <v>28</v>
      </c>
      <c r="B3" s="1">
        <v>46054</v>
      </c>
      <c r="C3" t="s">
        <v>4</v>
      </c>
      <c r="D3">
        <f>VLOOKUP(tblSales[[#This Row],[Customer]],tblCustomer[[#All],[Customer Name]:[Credit Term]],3,0)</f>
        <v>30</v>
      </c>
      <c r="E3" s="1">
        <f>tblSales[[#This Row],[Date]]+tblSales[[#This Row],[Credit Term]]</f>
        <v>46084</v>
      </c>
      <c r="F3" s="3">
        <v>5500000</v>
      </c>
      <c r="G3" s="3">
        <f>SUMIFS(tblPayment[[#All],[Amount Paid]],tblPayment[[#All],[Invoice]],tblPayment[[#This Row],[Invoice]])</f>
        <v>2000000</v>
      </c>
      <c r="H3" s="3">
        <f>tblSales[[#This Row],[Amount]]-tblSales[[#This Row],[Payment Received]]</f>
        <v>3500000</v>
      </c>
      <c r="I3" t="str">
        <f>IF(H3=0,"Paid",IF(G3=0,"Open","Partial"))</f>
        <v>Partial</v>
      </c>
    </row>
    <row r="4" spans="1:9" x14ac:dyDescent="0.25">
      <c r="A4" t="s">
        <v>30</v>
      </c>
      <c r="B4" s="1">
        <v>46057</v>
      </c>
      <c r="C4" t="s">
        <v>6</v>
      </c>
      <c r="D4">
        <f>VLOOKUP(tblSales[[#This Row],[Customer]],tblCustomer[[#All],[Customer Name]:[Credit Term]],3,0)</f>
        <v>14</v>
      </c>
      <c r="E4" s="1">
        <f>tblSales[[#This Row],[Date]]+tblSales[[#This Row],[Credit Term]]</f>
        <v>46071</v>
      </c>
      <c r="F4" s="3">
        <v>3800000</v>
      </c>
      <c r="G4" s="3">
        <f>SUMIFS(tblPayment[[#All],[Amount Paid]],tblPayment[[#All],[Invoice]],tblPayment[[#This Row],[Invoice]])</f>
        <v>1300000</v>
      </c>
      <c r="H4" s="3">
        <f>tblSales[[#This Row],[Amount]]-tblSales[[#This Row],[Payment Received]]</f>
        <v>2500000</v>
      </c>
      <c r="I4" t="str">
        <f t="shared" ref="I4:I10" si="0">IF(H4=0,"Paid",IF(G4=0,"Open","Partial"))</f>
        <v>Partial</v>
      </c>
    </row>
    <row r="5" spans="1:9" x14ac:dyDescent="0.25">
      <c r="A5" t="s">
        <v>32</v>
      </c>
      <c r="B5" s="1">
        <v>46061</v>
      </c>
      <c r="C5" t="s">
        <v>8</v>
      </c>
      <c r="D5">
        <f>VLOOKUP(tblSales[[#This Row],[Customer]],tblCustomer[[#All],[Customer Name]:[Credit Term]],3,0)</f>
        <v>30</v>
      </c>
      <c r="E5" s="1">
        <f>tblSales[[#This Row],[Date]]+tblSales[[#This Row],[Credit Term]]</f>
        <v>46091</v>
      </c>
      <c r="F5" s="3">
        <v>7200000</v>
      </c>
      <c r="G5" s="3">
        <f>SUMIFS(tblPayment[[#All],[Amount Paid]],tblPayment[[#All],[Invoice]],tblPayment[[#This Row],[Invoice]])</f>
        <v>2700000</v>
      </c>
      <c r="H5" s="3">
        <f>tblSales[[#This Row],[Amount]]-tblSales[[#This Row],[Payment Received]]</f>
        <v>4500000</v>
      </c>
      <c r="I5" t="str">
        <f t="shared" si="0"/>
        <v>Partial</v>
      </c>
    </row>
    <row r="6" spans="1:9" x14ac:dyDescent="0.25">
      <c r="A6" t="s">
        <v>33</v>
      </c>
      <c r="B6" s="1">
        <v>46063</v>
      </c>
      <c r="C6" t="s">
        <v>10</v>
      </c>
      <c r="D6">
        <f>VLOOKUP(tblSales[[#This Row],[Customer]],tblCustomer[[#All],[Customer Name]:[Credit Term]],3,0)</f>
        <v>21</v>
      </c>
      <c r="E6" s="1">
        <f>tblSales[[#This Row],[Date]]+tblSales[[#This Row],[Credit Term]]</f>
        <v>46084</v>
      </c>
      <c r="F6" s="3">
        <v>2300000</v>
      </c>
      <c r="G6" s="3">
        <f>SUMIFS(tblPayment[[#All],[Amount Paid]],tblPayment[[#All],[Invoice]],tblPayment[[#This Row],[Invoice]])</f>
        <v>0</v>
      </c>
      <c r="H6" s="3">
        <f>tblSales[[#This Row],[Amount]]-tblSales[[#This Row],[Payment Received]]</f>
        <v>2300000</v>
      </c>
      <c r="I6" t="str">
        <f t="shared" si="0"/>
        <v>Open</v>
      </c>
    </row>
    <row r="7" spans="1:9" x14ac:dyDescent="0.25">
      <c r="A7" t="s">
        <v>35</v>
      </c>
      <c r="B7" s="1">
        <v>46067</v>
      </c>
      <c r="C7" t="s">
        <v>12</v>
      </c>
      <c r="D7">
        <f>VLOOKUP(tblSales[[#This Row],[Customer]],tblCustomer[[#All],[Customer Name]:[Credit Term]],3,0)</f>
        <v>30</v>
      </c>
      <c r="E7" s="1">
        <f>tblSales[[#This Row],[Date]]+tblSales[[#This Row],[Credit Term]]</f>
        <v>46097</v>
      </c>
      <c r="F7" s="3">
        <v>6000000</v>
      </c>
      <c r="G7" s="3">
        <f>SUMIFS(tblPayment[[#All],[Amount Paid]],tblPayment[[#All],[Invoice]],tblPayment[[#This Row],[Invoice]])</f>
        <v>0</v>
      </c>
      <c r="H7" s="3">
        <f>tblSales[[#This Row],[Amount]]-tblSales[[#This Row],[Payment Received]]</f>
        <v>6000000</v>
      </c>
      <c r="I7" t="str">
        <f t="shared" si="0"/>
        <v>Open</v>
      </c>
    </row>
    <row r="8" spans="1:9" x14ac:dyDescent="0.25">
      <c r="A8" t="s">
        <v>36</v>
      </c>
      <c r="B8" s="1">
        <v>46071</v>
      </c>
      <c r="C8" t="s">
        <v>4</v>
      </c>
      <c r="D8">
        <f>VLOOKUP(tblSales[[#This Row],[Customer]],tblCustomer[[#All],[Customer Name]:[Credit Term]],3,0)</f>
        <v>30</v>
      </c>
      <c r="E8" s="1">
        <f>tblSales[[#This Row],[Date]]+tblSales[[#This Row],[Credit Term]]</f>
        <v>46101</v>
      </c>
      <c r="F8" s="3">
        <v>4100000</v>
      </c>
      <c r="G8" s="3">
        <f>SUMIFS(tblPayment[[#All],[Amount Paid]],tblPayment[[#All],[Invoice]],tblPayment[[#This Row],[Invoice]])</f>
        <v>0</v>
      </c>
      <c r="H8" s="3">
        <f>tblSales[[#This Row],[Amount]]-tblSales[[#This Row],[Payment Received]]</f>
        <v>4100000</v>
      </c>
      <c r="I8" t="str">
        <f t="shared" si="0"/>
        <v>Open</v>
      </c>
    </row>
    <row r="9" spans="1:9" x14ac:dyDescent="0.25">
      <c r="A9" t="s">
        <v>37</v>
      </c>
      <c r="B9" s="1">
        <v>46075</v>
      </c>
      <c r="C9" t="s">
        <v>6</v>
      </c>
      <c r="D9">
        <f>VLOOKUP(tblSales[[#This Row],[Customer]],tblCustomer[[#All],[Customer Name]:[Credit Term]],3,0)</f>
        <v>14</v>
      </c>
      <c r="E9" s="1">
        <f>tblSales[[#This Row],[Date]]+tblSales[[#This Row],[Credit Term]]</f>
        <v>46089</v>
      </c>
      <c r="F9" s="3">
        <v>2700000</v>
      </c>
      <c r="G9" s="3">
        <f>SUMIFS(tblPayment[[#All],[Amount Paid]],tblPayment[[#All],[Invoice]],tblPayment[[#This Row],[Invoice]])</f>
        <v>0</v>
      </c>
      <c r="H9" s="3">
        <f>tblSales[[#This Row],[Amount]]-tblSales[[#This Row],[Payment Received]]</f>
        <v>2700000</v>
      </c>
      <c r="I9" t="str">
        <f t="shared" si="0"/>
        <v>Open</v>
      </c>
    </row>
    <row r="10" spans="1:9" x14ac:dyDescent="0.25">
      <c r="A10" t="s">
        <v>38</v>
      </c>
      <c r="B10" s="1">
        <v>46079</v>
      </c>
      <c r="C10" t="s">
        <v>12</v>
      </c>
      <c r="D10">
        <f>VLOOKUP(tblSales[[#This Row],[Customer]],tblCustomer[[#All],[Customer Name]:[Credit Term]],3,0)</f>
        <v>30</v>
      </c>
      <c r="E10" s="1">
        <f>tblSales[[#This Row],[Date]]+tblSales[[#This Row],[Credit Term]]</f>
        <v>46109</v>
      </c>
      <c r="F10" s="3">
        <v>5800000</v>
      </c>
      <c r="G10" s="3">
        <f>SUMIFS(tblPayment[[#All],[Amount Paid]],tblPayment[[#All],[Invoice]],tblPayment[[#This Row],[Invoice]])</f>
        <v>0</v>
      </c>
      <c r="H10" s="3">
        <f>tblSales[[#This Row],[Amount]]-tblSales[[#This Row],[Payment Received]]</f>
        <v>5800000</v>
      </c>
      <c r="I10" t="str">
        <f t="shared" si="0"/>
        <v>Open</v>
      </c>
    </row>
    <row r="16" spans="1:9" x14ac:dyDescent="0.25">
      <c r="B16" s="4"/>
      <c r="E16" s="4"/>
    </row>
    <row r="17" spans="2:5" x14ac:dyDescent="0.25">
      <c r="B17" s="4"/>
      <c r="E17" s="4"/>
    </row>
    <row r="18" spans="2:5" x14ac:dyDescent="0.25">
      <c r="B18" s="4"/>
      <c r="E18" s="4"/>
    </row>
    <row r="19" spans="2:5" x14ac:dyDescent="0.25">
      <c r="B19" s="4"/>
      <c r="E19" s="4"/>
    </row>
    <row r="20" spans="2:5" x14ac:dyDescent="0.25">
      <c r="B20" s="4"/>
      <c r="E20" s="4"/>
    </row>
    <row r="21" spans="2:5" x14ac:dyDescent="0.25">
      <c r="B21" s="4"/>
      <c r="E21" s="4"/>
    </row>
    <row r="22" spans="2:5" x14ac:dyDescent="0.25">
      <c r="B22" s="4"/>
      <c r="E22" s="4"/>
    </row>
    <row r="23" spans="2:5" x14ac:dyDescent="0.25">
      <c r="B23" s="4"/>
      <c r="E23" s="4"/>
    </row>
  </sheetData>
  <mergeCells count="1">
    <mergeCell ref="A1:I1"/>
  </mergeCells>
  <conditionalFormatting sqref="I3:I10">
    <cfRule type="cellIs" dxfId="63" priority="1" operator="equal">
      <formula>"Open"</formula>
    </cfRule>
    <cfRule type="cellIs" dxfId="62" priority="2" operator="equal">
      <formula>"Partial"</formula>
    </cfRule>
    <cfRule type="cellIs" dxfId="61" priority="3" operator="equal">
      <formula>"Paid"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Customers!$D$2:$D$6</xm:f>
          </x14:formula1>
          <xm:sqref>D2</xm:sqref>
        </x14:dataValidation>
        <x14:dataValidation type="list" allowBlank="1" showInputMessage="1" showErrorMessage="1">
          <x14:formula1>
            <xm:f>Customers!$B$1:$B$6</xm:f>
          </x14:formula1>
          <xm:sqref>C2:C10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sqref="A1:E1"/>
    </sheetView>
  </sheetViews>
  <sheetFormatPr defaultRowHeight="15" x14ac:dyDescent="0.25"/>
  <cols>
    <col min="1" max="1" width="12.28515625" bestFit="1" customWidth="1"/>
    <col min="2" max="2" width="18.5703125" bestFit="1" customWidth="1"/>
    <col min="3" max="3" width="12" bestFit="1" customWidth="1"/>
    <col min="4" max="4" width="20" bestFit="1" customWidth="1"/>
    <col min="5" max="5" width="17" bestFit="1" customWidth="1"/>
  </cols>
  <sheetData>
    <row r="1" spans="1:9" ht="23.25" x14ac:dyDescent="0.35">
      <c r="A1" s="45" t="s">
        <v>179</v>
      </c>
      <c r="B1" s="45"/>
      <c r="C1" s="45"/>
      <c r="D1" s="45"/>
      <c r="E1" s="45"/>
      <c r="F1" s="21"/>
      <c r="G1" s="21"/>
      <c r="H1" s="21"/>
      <c r="I1" s="21"/>
    </row>
    <row r="2" spans="1:9" x14ac:dyDescent="0.25">
      <c r="A2" s="2" t="s">
        <v>39</v>
      </c>
      <c r="B2" s="2" t="s">
        <v>159</v>
      </c>
      <c r="C2" s="2" t="s">
        <v>22</v>
      </c>
      <c r="D2" s="2" t="s">
        <v>1</v>
      </c>
      <c r="E2" s="2" t="s">
        <v>102</v>
      </c>
    </row>
    <row r="3" spans="1:9" x14ac:dyDescent="0.25">
      <c r="A3" t="s">
        <v>40</v>
      </c>
      <c r="B3" s="1">
        <v>46068</v>
      </c>
      <c r="C3" t="s">
        <v>30</v>
      </c>
      <c r="D3" t="str">
        <f>VLOOKUP(tblPayment[[#This Row],[Invoice]],tblSales[[#All],[Invoice]:[Customer]],3,0)</f>
        <v>PT Sentosa Abadi</v>
      </c>
      <c r="E3" s="3">
        <v>2000000</v>
      </c>
    </row>
    <row r="4" spans="1:9" x14ac:dyDescent="0.25">
      <c r="A4" t="s">
        <v>41</v>
      </c>
      <c r="B4" s="1">
        <v>46077</v>
      </c>
      <c r="C4" t="s">
        <v>33</v>
      </c>
      <c r="D4" t="str">
        <f>VLOOKUP(tblPayment[[#This Row],[Invoice]],tblSales[[#All],[Invoice]:[Customer]],3,0)</f>
        <v>CV Sumber Jaya</v>
      </c>
      <c r="E4" s="3">
        <v>1300000</v>
      </c>
    </row>
    <row r="5" spans="1:9" x14ac:dyDescent="0.25">
      <c r="A5" t="s">
        <v>42</v>
      </c>
      <c r="B5" s="1">
        <v>46086</v>
      </c>
      <c r="C5" t="s">
        <v>37</v>
      </c>
      <c r="D5" t="str">
        <f>VLOOKUP(tblPayment[[#This Row],[Invoice]],tblSales[[#All],[Invoice]:[Customer]],3,0)</f>
        <v>PT Sentosa Abadi</v>
      </c>
      <c r="E5" s="3">
        <v>2700000</v>
      </c>
    </row>
    <row r="10" spans="1:9" x14ac:dyDescent="0.25">
      <c r="B10" s="4"/>
    </row>
    <row r="11" spans="1:9" x14ac:dyDescent="0.25">
      <c r="B11" s="4"/>
    </row>
    <row r="12" spans="1:9" x14ac:dyDescent="0.25">
      <c r="B12" s="4"/>
    </row>
  </sheetData>
  <mergeCells count="1">
    <mergeCell ref="A1:E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activeCell="H15" sqref="H15"/>
    </sheetView>
  </sheetViews>
  <sheetFormatPr defaultRowHeight="15" x14ac:dyDescent="0.25"/>
  <cols>
    <col min="1" max="1" width="12" bestFit="1" customWidth="1"/>
    <col min="2" max="2" width="9.7109375" bestFit="1" customWidth="1"/>
    <col min="3" max="3" width="18.5703125" bestFit="1" customWidth="1"/>
    <col min="4" max="4" width="18.5703125" customWidth="1"/>
    <col min="5" max="5" width="13.7109375" bestFit="1" customWidth="1"/>
    <col min="6" max="8" width="18.5703125" customWidth="1"/>
    <col min="9" max="9" width="12.7109375" bestFit="1" customWidth="1"/>
    <col min="10" max="10" width="19.140625" bestFit="1" customWidth="1"/>
    <col min="11" max="11" width="16.42578125" bestFit="1" customWidth="1"/>
    <col min="13" max="13" width="13.7109375" bestFit="1" customWidth="1"/>
    <col min="15" max="15" width="11" bestFit="1" customWidth="1"/>
  </cols>
  <sheetData>
    <row r="1" spans="1:12" ht="23.25" x14ac:dyDescent="0.35">
      <c r="A1" s="45" t="s">
        <v>180</v>
      </c>
      <c r="B1" s="45"/>
      <c r="C1" s="45"/>
      <c r="D1" s="45"/>
      <c r="E1" s="45"/>
      <c r="F1" s="45"/>
      <c r="G1" s="45"/>
      <c r="H1" s="45"/>
      <c r="I1" s="45"/>
      <c r="J1" s="45"/>
      <c r="K1" s="45"/>
      <c r="L1" s="45"/>
    </row>
    <row r="2" spans="1:12" x14ac:dyDescent="0.25">
      <c r="A2" s="2" t="s">
        <v>22</v>
      </c>
      <c r="B2" s="2" t="s">
        <v>23</v>
      </c>
      <c r="C2" s="2" t="s">
        <v>43</v>
      </c>
      <c r="D2" s="2" t="s">
        <v>15</v>
      </c>
      <c r="E2" s="2" t="s">
        <v>25</v>
      </c>
      <c r="F2" s="2" t="s">
        <v>82</v>
      </c>
      <c r="G2" s="2" t="s">
        <v>98</v>
      </c>
      <c r="H2" s="2" t="s">
        <v>85</v>
      </c>
      <c r="I2" s="2" t="s">
        <v>99</v>
      </c>
      <c r="J2" s="2" t="s">
        <v>81</v>
      </c>
      <c r="K2" s="2" t="s">
        <v>51</v>
      </c>
      <c r="L2" s="2" t="s">
        <v>27</v>
      </c>
    </row>
    <row r="3" spans="1:12" x14ac:dyDescent="0.25">
      <c r="A3" t="s">
        <v>44</v>
      </c>
      <c r="B3" s="1">
        <v>46055</v>
      </c>
      <c r="C3" t="s">
        <v>17</v>
      </c>
      <c r="D3">
        <f>VLOOKUP(tblPurchase[[#This Row],[Supplier]],tblSuppliers[[#All],[Supplier Name]:[Payment Term]],3,0)</f>
        <v>30</v>
      </c>
      <c r="E3" s="1">
        <f>tblPurchase[[#This Row],[Date]]+tblPurchase[[#This Row],[Payment Term]]</f>
        <v>46085</v>
      </c>
      <c r="F3" t="s">
        <v>89</v>
      </c>
      <c r="G3">
        <v>100</v>
      </c>
      <c r="H3" s="3">
        <f>VLOOKUP(tblPurchase[[#This Row],[Item]],tblItem[[Item Name]:[Unit Cost]],2,0)</f>
        <v>55000</v>
      </c>
      <c r="I3" s="3">
        <f>tblPurchase[[#This Row],[Qty]]*tblPurchase[[#This Row],[Unit Cost]]</f>
        <v>5500000</v>
      </c>
      <c r="J3" s="3">
        <f>SUMIFS(tblSupplierpay[Amount Paid],tblSupplierpay[Invoice],tblPurchase[[#This Row],[Invoice]])</f>
        <v>5500000</v>
      </c>
      <c r="K3" s="3">
        <f>tblPurchase[[#This Row],[Total]]-tblPurchase[[#This Row],[Payment Made]]</f>
        <v>0</v>
      </c>
      <c r="L3" t="str">
        <f>IF(tblPurchase[[#This Row],[Outstanding]]=0,"Paid",IF(tblPurchase[[#This Row],[Payment Made]]=0,"Open","Partial"))</f>
        <v>Paid</v>
      </c>
    </row>
    <row r="4" spans="1:12" x14ac:dyDescent="0.25">
      <c r="A4" t="s">
        <v>45</v>
      </c>
      <c r="B4" s="1">
        <v>46059</v>
      </c>
      <c r="C4" t="s">
        <v>19</v>
      </c>
      <c r="D4">
        <f>VLOOKUP(tblPurchase[[#This Row],[Supplier]],tblSuppliers[[#All],[Supplier Name]:[Payment Term]],3,0)</f>
        <v>21</v>
      </c>
      <c r="E4" s="1">
        <f>tblPurchase[[#This Row],[Date]]+tblPurchase[[#This Row],[Payment Term]]</f>
        <v>46080</v>
      </c>
      <c r="F4" t="s">
        <v>91</v>
      </c>
      <c r="G4">
        <v>500</v>
      </c>
      <c r="H4" s="3">
        <f>VLOOKUP(tblPurchase[[#This Row],[Item]],tblItem[[Item Name]:[Unit Cost]],2,0)</f>
        <v>4500</v>
      </c>
      <c r="I4" s="3">
        <f>tblPurchase[[#This Row],[Qty]]*tblPurchase[[#This Row],[Unit Cost]]</f>
        <v>2250000</v>
      </c>
      <c r="J4" s="3">
        <f>SUMIFS(tblSupplierpay[Amount Paid],tblSupplierpay[Invoice],tblPurchase[[#This Row],[Invoice]])</f>
        <v>2250000</v>
      </c>
      <c r="K4" s="3">
        <f>tblPurchase[[#This Row],[Total]]-tblPurchase[[#This Row],[Payment Made]]</f>
        <v>0</v>
      </c>
      <c r="L4" t="str">
        <f>IF(tblPurchase[[#This Row],[Outstanding]]=0,"Paid",IF(tblPurchase[[#This Row],[Payment Made]]=0,"Open","Partial"))</f>
        <v>Paid</v>
      </c>
    </row>
    <row r="5" spans="1:12" x14ac:dyDescent="0.25">
      <c r="A5" t="s">
        <v>46</v>
      </c>
      <c r="B5" s="1">
        <v>46065</v>
      </c>
      <c r="C5" t="s">
        <v>21</v>
      </c>
      <c r="D5">
        <f>VLOOKUP(tblPurchase[[#This Row],[Supplier]],tblSuppliers[[#All],[Supplier Name]:[Payment Term]],3,0)</f>
        <v>30</v>
      </c>
      <c r="E5" s="1">
        <f>tblPurchase[[#This Row],[Date]]+tblPurchase[[#This Row],[Payment Term]]</f>
        <v>46095</v>
      </c>
      <c r="F5" t="s">
        <v>95</v>
      </c>
      <c r="G5">
        <v>150</v>
      </c>
      <c r="H5" s="3">
        <f>VLOOKUP(tblPurchase[[#This Row],[Item]],tblItem[[Item Name]:[Unit Cost]],2,0)</f>
        <v>18000</v>
      </c>
      <c r="I5" s="3">
        <f>tblPurchase[[#This Row],[Qty]]*tblPurchase[[#This Row],[Unit Cost]]</f>
        <v>2700000</v>
      </c>
      <c r="J5" s="3">
        <f>SUMIFS(tblSupplierpay[Amount Paid],tblSupplierpay[Invoice],tblPurchase[[#This Row],[Invoice]])</f>
        <v>2700000</v>
      </c>
      <c r="K5" s="3">
        <f>tblPurchase[[#This Row],[Total]]-tblPurchase[[#This Row],[Payment Made]]</f>
        <v>0</v>
      </c>
      <c r="L5" t="str">
        <f>IF(tblPurchase[[#This Row],[Outstanding]]=0,"Paid",IF(tblPurchase[[#This Row],[Payment Made]]=0,"Open","Partial"))</f>
        <v>Paid</v>
      </c>
    </row>
    <row r="6" spans="1:12" x14ac:dyDescent="0.25">
      <c r="A6" t="s">
        <v>47</v>
      </c>
      <c r="B6" s="1">
        <v>46068</v>
      </c>
      <c r="C6" t="s">
        <v>17</v>
      </c>
      <c r="D6">
        <f>VLOOKUP(tblPurchase[[#This Row],[Supplier]],tblSuppliers[[#All],[Supplier Name]:[Payment Term]],3,0)</f>
        <v>30</v>
      </c>
      <c r="E6" s="1">
        <f>tblPurchase[[#This Row],[Date]]+tblPurchase[[#This Row],[Payment Term]]</f>
        <v>46098</v>
      </c>
      <c r="F6" t="s">
        <v>97</v>
      </c>
      <c r="G6">
        <v>30</v>
      </c>
      <c r="H6" s="3">
        <f>VLOOKUP(tblPurchase[[#This Row],[Item]],tblItem[[Item Name]:[Unit Cost]],2,0)</f>
        <v>95000</v>
      </c>
      <c r="I6" s="3">
        <f>tblPurchase[[#This Row],[Qty]]*tblPurchase[[#This Row],[Unit Cost]]</f>
        <v>2850000</v>
      </c>
      <c r="J6" s="3">
        <f>SUMIFS(tblSupplierpay[Amount Paid],tblSupplierpay[Invoice],tblPurchase[[#This Row],[Invoice]])</f>
        <v>2000000</v>
      </c>
      <c r="K6" s="3">
        <f>tblPurchase[[#This Row],[Total]]-tblPurchase[[#This Row],[Payment Made]]</f>
        <v>850000</v>
      </c>
      <c r="L6" t="str">
        <f>IF(tblPurchase[[#This Row],[Outstanding]]=0,"Paid",IF(tblPurchase[[#This Row],[Payment Made]]=0,"Open","Partial"))</f>
        <v>Partial</v>
      </c>
    </row>
  </sheetData>
  <mergeCells count="1">
    <mergeCell ref="A1:L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Suppliers!$B$1:$B$4</xm:f>
          </x14:formula1>
          <xm:sqref>C2:C6</xm:sqref>
        </x14:dataValidation>
        <x14:dataValidation type="list" allowBlank="1" showInputMessage="1" showErrorMessage="1">
          <x14:formula1>
            <xm:f>'Master Item'!$B$1:$B$6</xm:f>
          </x14:formula1>
          <xm:sqref>F3:F6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A2" sqref="A2"/>
    </sheetView>
  </sheetViews>
  <sheetFormatPr defaultRowHeight="15" x14ac:dyDescent="0.25"/>
  <cols>
    <col min="1" max="1" width="16.42578125" bestFit="1" customWidth="1"/>
    <col min="2" max="2" width="18.140625" bestFit="1" customWidth="1"/>
    <col min="3" max="3" width="12" bestFit="1" customWidth="1"/>
    <col min="4" max="4" width="18.5703125" bestFit="1" customWidth="1"/>
    <col min="5" max="5" width="18.5703125" customWidth="1"/>
    <col min="6" max="6" width="19.140625" bestFit="1" customWidth="1"/>
    <col min="7" max="7" width="21.140625" bestFit="1" customWidth="1"/>
    <col min="8" max="8" width="14.7109375" bestFit="1" customWidth="1"/>
  </cols>
  <sheetData>
    <row r="1" spans="1:8" ht="23.25" x14ac:dyDescent="0.35">
      <c r="A1" s="45" t="s">
        <v>181</v>
      </c>
      <c r="B1" s="45"/>
      <c r="C1" s="45"/>
      <c r="D1" s="45"/>
      <c r="E1" s="45"/>
      <c r="F1" s="45"/>
      <c r="G1" s="45"/>
      <c r="H1" s="45"/>
    </row>
    <row r="2" spans="1:8" x14ac:dyDescent="0.25">
      <c r="A2" s="2" t="s">
        <v>100</v>
      </c>
      <c r="B2" s="2" t="s">
        <v>101</v>
      </c>
      <c r="C2" s="2" t="s">
        <v>22</v>
      </c>
      <c r="D2" s="2" t="s">
        <v>43</v>
      </c>
      <c r="E2" s="2" t="s">
        <v>115</v>
      </c>
      <c r="F2" s="2" t="s">
        <v>102</v>
      </c>
      <c r="G2" s="2" t="s">
        <v>103</v>
      </c>
      <c r="H2" s="2" t="s">
        <v>104</v>
      </c>
    </row>
    <row r="3" spans="1:8" x14ac:dyDescent="0.25">
      <c r="A3" t="s">
        <v>48</v>
      </c>
      <c r="B3" s="4">
        <v>46079</v>
      </c>
      <c r="C3" t="s">
        <v>45</v>
      </c>
      <c r="D3" t="str">
        <f>VLOOKUP(tblSupplierpay[[#This Row],[Invoice]],tblPurchase[[Invoice]:[Supplier]],3,0)</f>
        <v>PT Pena Nusantara</v>
      </c>
      <c r="E3" s="3">
        <f>VLOOKUP(tblSupplierpay[[#This Row],[Invoice]],tblPurchase[[Invoice]:[Total]],9,0)</f>
        <v>2250000</v>
      </c>
      <c r="F3" s="3">
        <v>2250000</v>
      </c>
      <c r="G3" t="s">
        <v>105</v>
      </c>
      <c r="H3" t="s">
        <v>106</v>
      </c>
    </row>
    <row r="4" spans="1:8" x14ac:dyDescent="0.25">
      <c r="A4" t="s">
        <v>49</v>
      </c>
      <c r="B4" s="4">
        <v>46091</v>
      </c>
      <c r="C4" t="s">
        <v>47</v>
      </c>
      <c r="D4" t="str">
        <f>VLOOKUP(tblSupplierpay[[#This Row],[Invoice]],tblPurchase[[Invoice]:[Supplier]],3,0)</f>
        <v>PT Kertas Indonesia</v>
      </c>
      <c r="E4" s="3">
        <f>VLOOKUP(tblSupplierpay[[#This Row],[Invoice]],tblPurchase[[Invoice]:[Total]],9,0)</f>
        <v>2850000</v>
      </c>
      <c r="F4" s="3">
        <v>2000000</v>
      </c>
      <c r="G4" t="s">
        <v>105</v>
      </c>
      <c r="H4" t="s">
        <v>107</v>
      </c>
    </row>
    <row r="5" spans="1:8" x14ac:dyDescent="0.25">
      <c r="A5" t="s">
        <v>108</v>
      </c>
      <c r="B5" s="4">
        <v>46099</v>
      </c>
      <c r="C5" t="s">
        <v>44</v>
      </c>
      <c r="D5" t="str">
        <f>VLOOKUP(tblSupplierpay[[#This Row],[Invoice]],tblPurchase[[Invoice]:[Supplier]],3,0)</f>
        <v>PT Kertas Indonesia</v>
      </c>
      <c r="E5" s="3">
        <f>VLOOKUP(tblSupplierpay[[#This Row],[Invoice]],tblPurchase[[Invoice]:[Total]],9,0)</f>
        <v>5500000</v>
      </c>
      <c r="F5" s="3">
        <v>3000000</v>
      </c>
      <c r="G5" t="s">
        <v>105</v>
      </c>
      <c r="H5" t="s">
        <v>109</v>
      </c>
    </row>
    <row r="6" spans="1:8" x14ac:dyDescent="0.25">
      <c r="A6" t="s">
        <v>110</v>
      </c>
      <c r="B6" s="4">
        <v>46106</v>
      </c>
      <c r="C6" t="s">
        <v>44</v>
      </c>
      <c r="D6" t="str">
        <f>VLOOKUP(tblSupplierpay[[#This Row],[Invoice]],tblPurchase[[Invoice]:[Supplier]],3,0)</f>
        <v>PT Kertas Indonesia</v>
      </c>
      <c r="E6" s="3">
        <f>VLOOKUP(tblSupplierpay[[#This Row],[Invoice]],tblPurchase[[Invoice]:[Total]],9,0)</f>
        <v>5500000</v>
      </c>
      <c r="F6" s="3">
        <v>2500000</v>
      </c>
      <c r="G6" t="s">
        <v>105</v>
      </c>
      <c r="H6" t="s">
        <v>111</v>
      </c>
    </row>
    <row r="7" spans="1:8" x14ac:dyDescent="0.25">
      <c r="A7" t="s">
        <v>112</v>
      </c>
      <c r="B7" s="4">
        <v>46109</v>
      </c>
      <c r="C7" t="s">
        <v>46</v>
      </c>
      <c r="D7" t="str">
        <f>VLOOKUP(tblSupplierpay[[#This Row],[Invoice]],tblPurchase[[Invoice]:[Supplier]],3,0)</f>
        <v>PT Office Supply</v>
      </c>
      <c r="E7" s="3">
        <f>VLOOKUP(tblSupplierpay[[#This Row],[Invoice]],tblPurchase[[Invoice]:[Total]],9,0)</f>
        <v>2700000</v>
      </c>
      <c r="F7" s="3">
        <v>2700000</v>
      </c>
      <c r="G7" t="s">
        <v>113</v>
      </c>
      <c r="H7" t="s">
        <v>114</v>
      </c>
    </row>
  </sheetData>
  <mergeCells count="1">
    <mergeCell ref="A1:H1"/>
  </mergeCells>
  <conditionalFormatting sqref="H2:H1048576">
    <cfRule type="cellIs" dxfId="41" priority="1" operator="equal">
      <formula>"Open"</formula>
    </cfRule>
    <cfRule type="cellIs" dxfId="40" priority="2" operator="equal">
      <formula>"Partial"</formula>
    </cfRule>
    <cfRule type="cellIs" dxfId="39" priority="3" operator="equal">
      <formula>"Open"</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'Purchase Invoice (AP)'!$A$3:$A$6</xm:f>
          </x14:formula1>
          <xm:sqref>C3:C7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showGridLines="0" workbookViewId="0">
      <selection activeCell="D18" sqref="D18"/>
    </sheetView>
  </sheetViews>
  <sheetFormatPr defaultRowHeight="15" x14ac:dyDescent="0.25"/>
  <cols>
    <col min="1" max="1" width="14.140625" customWidth="1"/>
    <col min="2" max="2" width="19.140625" bestFit="1" customWidth="1"/>
    <col min="3" max="3" width="16.5703125" bestFit="1" customWidth="1"/>
    <col min="4" max="4" width="14.140625" customWidth="1"/>
    <col min="5" max="5" width="18" bestFit="1" customWidth="1"/>
    <col min="6" max="6" width="16.42578125" bestFit="1" customWidth="1"/>
    <col min="7" max="7" width="18" bestFit="1" customWidth="1"/>
    <col min="8" max="8" width="11" bestFit="1" customWidth="1"/>
    <col min="9" max="9" width="10.5703125" bestFit="1" customWidth="1"/>
  </cols>
  <sheetData>
    <row r="1" spans="1:8" ht="21" x14ac:dyDescent="0.35">
      <c r="A1" s="46" t="s">
        <v>155</v>
      </c>
      <c r="B1" s="46"/>
      <c r="C1" s="46"/>
      <c r="D1" s="46"/>
      <c r="E1" s="46"/>
      <c r="F1" s="46"/>
      <c r="G1" s="46"/>
      <c r="H1" s="46"/>
    </row>
    <row r="2" spans="1:8" ht="18.75" x14ac:dyDescent="0.3">
      <c r="A2" s="47" t="s">
        <v>156</v>
      </c>
      <c r="B2" s="47"/>
      <c r="C2" s="47"/>
      <c r="D2" s="47"/>
      <c r="E2" s="47"/>
      <c r="F2" s="47"/>
      <c r="G2" s="47"/>
      <c r="H2" s="47"/>
    </row>
    <row r="3" spans="1:8" x14ac:dyDescent="0.25">
      <c r="A3" s="48" t="s">
        <v>157</v>
      </c>
      <c r="B3" s="48"/>
      <c r="C3" s="48"/>
      <c r="D3" s="48"/>
      <c r="E3" s="48"/>
      <c r="F3" s="48"/>
      <c r="G3" s="48"/>
      <c r="H3" s="48"/>
    </row>
    <row r="4" spans="1:8" x14ac:dyDescent="0.25">
      <c r="A4" s="36" t="s">
        <v>158</v>
      </c>
      <c r="B4" s="37"/>
      <c r="C4" s="36"/>
      <c r="D4" s="36"/>
      <c r="E4" s="36"/>
      <c r="F4" s="36"/>
      <c r="G4" s="36"/>
      <c r="H4" s="36"/>
    </row>
    <row r="5" spans="1:8" x14ac:dyDescent="0.25">
      <c r="A5" s="35"/>
      <c r="B5" s="35"/>
      <c r="C5" s="35"/>
      <c r="D5" s="35"/>
      <c r="E5" s="35"/>
      <c r="F5" s="35"/>
      <c r="G5" s="35"/>
      <c r="H5" s="35"/>
    </row>
    <row r="6" spans="1:8" x14ac:dyDescent="0.25">
      <c r="A6" s="2" t="s">
        <v>22</v>
      </c>
      <c r="B6" s="2" t="s">
        <v>24</v>
      </c>
      <c r="C6" s="2" t="s">
        <v>131</v>
      </c>
      <c r="D6" s="2" t="s">
        <v>25</v>
      </c>
      <c r="E6" s="2" t="s">
        <v>132</v>
      </c>
      <c r="F6" s="2" t="s">
        <v>51</v>
      </c>
      <c r="G6" s="2" t="s">
        <v>133</v>
      </c>
      <c r="H6" s="2" t="s">
        <v>27</v>
      </c>
    </row>
    <row r="7" spans="1:8" x14ac:dyDescent="0.25">
      <c r="A7" t="s">
        <v>28</v>
      </c>
      <c r="B7" t="str">
        <f>VLOOKUP(tblARAging[Invoice],tblSales[[#All],[Invoice]:[Customer]],3,0)</f>
        <v>PT Maju Bersama</v>
      </c>
      <c r="C7" s="30">
        <f>VLOOKUP(tblARAging[[#This Row],[Invoice]],tblSales[[#All],[Invoice]:[Date]],2,0)</f>
        <v>46054</v>
      </c>
      <c r="D7" s="30">
        <f>VLOOKUP(tblARAging[[#This Row],[Invoice]],tblSales[[#All],[Invoice]:[Due Date]],5,0)</f>
        <v>46084</v>
      </c>
      <c r="E7" s="31">
        <f ca="1">MAX(0,TODAY()-tblARAging[[#This Row],[Due Date]])</f>
        <v>128</v>
      </c>
      <c r="F7" s="3">
        <f>VLOOKUP(tblARAging[[#This Row],[Invoice]],tblSales[[#All],[Invoice]:[Outstanding]],8,0)</f>
        <v>3500000</v>
      </c>
      <c r="G7" t="str">
        <f ca="1">IF(tblARAging[Days Overdue]=0,"Current", IF(tblARAging[Days Overdue]&lt;=30,"1-30 Days",IF(tblARAging[Days Overdue]&lt;=60,"31-60 Days","&gt;60 Days")))</f>
        <v>&gt;60 Days</v>
      </c>
      <c r="H7" t="str">
        <f>VLOOKUP(tblARAging[[#This Row],[Invoice]],tblSales[#All],9,0)</f>
        <v>Partial</v>
      </c>
    </row>
    <row r="8" spans="1:8" x14ac:dyDescent="0.25">
      <c r="A8" t="s">
        <v>30</v>
      </c>
      <c r="B8" t="str">
        <f>VLOOKUP(tblARAging[Invoice],tblSales[[#All],[Invoice]:[Customer]],3,0)</f>
        <v>PT Sentosa Abadi</v>
      </c>
      <c r="C8" s="30">
        <f>VLOOKUP(tblARAging[[#This Row],[Invoice]],tblSales[[#All],[Invoice]:[Date]],2,0)</f>
        <v>46057</v>
      </c>
      <c r="D8" s="30">
        <f>VLOOKUP(tblARAging[[#This Row],[Invoice]],tblSales[[#All],[Invoice]:[Due Date]],5,0)</f>
        <v>46071</v>
      </c>
      <c r="E8" s="31">
        <f ca="1">MAX(0,TODAY()-tblARAging[[#This Row],[Due Date]])</f>
        <v>141</v>
      </c>
      <c r="F8" s="3">
        <f>VLOOKUP(tblARAging[[#This Row],[Invoice]],tblSales[[#All],[Invoice]:[Outstanding]],8,0)</f>
        <v>2500000</v>
      </c>
      <c r="G8" t="str">
        <f ca="1">IF(tblARAging[Days Overdue]=0,"Current", IF(tblARAging[Days Overdue]&lt;=30,"1-30 Days",IF(tblARAging[Days Overdue]&lt;=60,"31-60 Days","&gt;60 Days")))</f>
        <v>&gt;60 Days</v>
      </c>
      <c r="H8" t="str">
        <f>VLOOKUP(tblARAging[[#This Row],[Invoice]],tblSales[#All],9,0)</f>
        <v>Partial</v>
      </c>
    </row>
    <row r="9" spans="1:8" x14ac:dyDescent="0.25">
      <c r="A9" t="s">
        <v>32</v>
      </c>
      <c r="B9" t="str">
        <f>VLOOKUP(tblARAging[Invoice],tblSales[[#All],[Invoice]:[Customer]],3,0)</f>
        <v>PT Global Stationery</v>
      </c>
      <c r="C9" s="30">
        <f>VLOOKUP(tblARAging[[#This Row],[Invoice]],tblSales[[#All],[Invoice]:[Date]],2,0)</f>
        <v>46061</v>
      </c>
      <c r="D9" s="30">
        <f>VLOOKUP(tblARAging[[#This Row],[Invoice]],tblSales[[#All],[Invoice]:[Due Date]],5,0)</f>
        <v>46091</v>
      </c>
      <c r="E9" s="31">
        <f ca="1">MAX(0,TODAY()-tblARAging[[#This Row],[Due Date]])</f>
        <v>121</v>
      </c>
      <c r="F9" s="3">
        <f>VLOOKUP(tblARAging[[#This Row],[Invoice]],tblSales[[#All],[Invoice]:[Outstanding]],8,0)</f>
        <v>4500000</v>
      </c>
      <c r="G9" t="str">
        <f ca="1">IF(tblARAging[Days Overdue]=0,"Current", IF(tblARAging[Days Overdue]&lt;=30,"1-30 Days",IF(tblARAging[Days Overdue]&lt;=60,"31-60 Days","&gt;60 Days")))</f>
        <v>&gt;60 Days</v>
      </c>
      <c r="H9" t="str">
        <f>VLOOKUP(tblARAging[[#This Row],[Invoice]],tblSales[#All],9,0)</f>
        <v>Partial</v>
      </c>
    </row>
    <row r="10" spans="1:8" x14ac:dyDescent="0.25">
      <c r="A10" t="s">
        <v>33</v>
      </c>
      <c r="B10" t="str">
        <f>VLOOKUP(tblARAging[Invoice],tblSales[[#All],[Invoice]:[Customer]],3,0)</f>
        <v>CV Sumber Jaya</v>
      </c>
      <c r="C10" s="30">
        <f>VLOOKUP(tblARAging[[#This Row],[Invoice]],tblSales[[#All],[Invoice]:[Date]],2,0)</f>
        <v>46063</v>
      </c>
      <c r="D10" s="30">
        <f>VLOOKUP(tblARAging[[#This Row],[Invoice]],tblSales[[#All],[Invoice]:[Due Date]],5,0)</f>
        <v>46084</v>
      </c>
      <c r="E10" s="31">
        <f ca="1">MAX(0,TODAY()-tblARAging[[#This Row],[Due Date]])</f>
        <v>128</v>
      </c>
      <c r="F10" s="3">
        <f>VLOOKUP(tblARAging[[#This Row],[Invoice]],tblSales[[#All],[Invoice]:[Outstanding]],8,0)</f>
        <v>2300000</v>
      </c>
      <c r="G10" t="str">
        <f ca="1">IF(tblARAging[Days Overdue]=0,"Current", IF(tblARAging[Days Overdue]&lt;=30,"1-30 Days",IF(tblARAging[Days Overdue]&lt;=60,"31-60 Days","&gt;60 Days")))</f>
        <v>&gt;60 Days</v>
      </c>
      <c r="H10" t="str">
        <f>VLOOKUP(tblARAging[[#This Row],[Invoice]],tblSales[#All],9,0)</f>
        <v>Open</v>
      </c>
    </row>
    <row r="11" spans="1:8" x14ac:dyDescent="0.25">
      <c r="A11" t="s">
        <v>35</v>
      </c>
      <c r="B11" t="str">
        <f>VLOOKUP(tblARAging[Invoice],tblSales[[#All],[Invoice]:[Customer]],3,0)</f>
        <v>PT Prima Office</v>
      </c>
      <c r="C11" s="30">
        <f>VLOOKUP(tblARAging[[#This Row],[Invoice]],tblSales[[#All],[Invoice]:[Date]],2,0)</f>
        <v>46067</v>
      </c>
      <c r="D11" s="30">
        <f>VLOOKUP(tblARAging[[#This Row],[Invoice]],tblSales[[#All],[Invoice]:[Due Date]],5,0)</f>
        <v>46097</v>
      </c>
      <c r="E11" s="31">
        <f ca="1">MAX(0,TODAY()-tblARAging[[#This Row],[Due Date]])</f>
        <v>115</v>
      </c>
      <c r="F11" s="3">
        <f>VLOOKUP(tblARAging[[#This Row],[Invoice]],tblSales[[#All],[Invoice]:[Outstanding]],8,0)</f>
        <v>6000000</v>
      </c>
      <c r="G11" t="str">
        <f ca="1">IF(tblARAging[Days Overdue]=0,"Current", IF(tblARAging[Days Overdue]&lt;=30,"1-30 Days",IF(tblARAging[Days Overdue]&lt;=60,"31-60 Days","&gt;60 Days")))</f>
        <v>&gt;60 Days</v>
      </c>
      <c r="H11" t="str">
        <f>VLOOKUP(tblARAging[[#This Row],[Invoice]],tblSales[#All],9,0)</f>
        <v>Open</v>
      </c>
    </row>
    <row r="12" spans="1:8" x14ac:dyDescent="0.25">
      <c r="A12" t="s">
        <v>36</v>
      </c>
      <c r="B12" t="str">
        <f>VLOOKUP(tblARAging[Invoice],tblSales[[#All],[Invoice]:[Customer]],3,0)</f>
        <v>PT Maju Bersama</v>
      </c>
      <c r="C12" s="30">
        <f>VLOOKUP(tblARAging[[#This Row],[Invoice]],tblSales[[#All],[Invoice]:[Date]],2,0)</f>
        <v>46071</v>
      </c>
      <c r="D12" s="30">
        <f>VLOOKUP(tblARAging[[#This Row],[Invoice]],tblSales[[#All],[Invoice]:[Due Date]],5,0)</f>
        <v>46101</v>
      </c>
      <c r="E12" s="31">
        <f ca="1">MAX(0,TODAY()-tblARAging[[#This Row],[Due Date]])</f>
        <v>111</v>
      </c>
      <c r="F12" s="3">
        <f>VLOOKUP(tblARAging[[#This Row],[Invoice]],tblSales[[#All],[Invoice]:[Outstanding]],8,0)</f>
        <v>4100000</v>
      </c>
      <c r="G12" t="str">
        <f ca="1">IF(tblARAging[Days Overdue]=0,"Current", IF(tblARAging[Days Overdue]&lt;=30,"1-30 Days",IF(tblARAging[Days Overdue]&lt;=60,"31-60 Days","&gt;60 Days")))</f>
        <v>&gt;60 Days</v>
      </c>
      <c r="H12" t="str">
        <f>VLOOKUP(tblARAging[[#This Row],[Invoice]],tblSales[#All],9,0)</f>
        <v>Open</v>
      </c>
    </row>
    <row r="13" spans="1:8" x14ac:dyDescent="0.25">
      <c r="A13" t="s">
        <v>37</v>
      </c>
      <c r="B13" t="str">
        <f>VLOOKUP(tblARAging[Invoice],tblSales[[#All],[Invoice]:[Customer]],3,0)</f>
        <v>PT Sentosa Abadi</v>
      </c>
      <c r="C13" s="30">
        <f>VLOOKUP(tblARAging[[#This Row],[Invoice]],tblSales[[#All],[Invoice]:[Date]],2,0)</f>
        <v>46075</v>
      </c>
      <c r="D13" s="30">
        <f>VLOOKUP(tblARAging[[#This Row],[Invoice]],tblSales[[#All],[Invoice]:[Due Date]],5,0)</f>
        <v>46089</v>
      </c>
      <c r="E13" s="31">
        <f ca="1">MAX(0,TODAY()-tblARAging[[#This Row],[Due Date]])</f>
        <v>123</v>
      </c>
      <c r="F13" s="3">
        <f>VLOOKUP(tblARAging[[#This Row],[Invoice]],tblSales[[#All],[Invoice]:[Outstanding]],8,0)</f>
        <v>2700000</v>
      </c>
      <c r="G13" t="str">
        <f ca="1">IF(tblARAging[Days Overdue]=0,"Current", IF(tblARAging[Days Overdue]&lt;=30,"1-30 Days",IF(tblARAging[Days Overdue]&lt;=60,"31-60 Days","&gt;60 Days")))</f>
        <v>&gt;60 Days</v>
      </c>
      <c r="H13" t="str">
        <f>VLOOKUP(tblARAging[[#This Row],[Invoice]],tblSales[#All],9,0)</f>
        <v>Open</v>
      </c>
    </row>
    <row r="14" spans="1:8" x14ac:dyDescent="0.25">
      <c r="A14" t="s">
        <v>38</v>
      </c>
      <c r="B14" t="str">
        <f>VLOOKUP(tblARAging[Invoice],tblSales[[#All],[Invoice]:[Customer]],3,0)</f>
        <v>PT Prima Office</v>
      </c>
      <c r="C14" s="30">
        <f>VLOOKUP(tblARAging[[#This Row],[Invoice]],tblSales[[#All],[Invoice]:[Date]],2,0)</f>
        <v>46079</v>
      </c>
      <c r="D14" s="30">
        <f>VLOOKUP(tblARAging[[#This Row],[Invoice]],tblSales[[#All],[Invoice]:[Due Date]],5,0)</f>
        <v>46109</v>
      </c>
      <c r="E14" s="31">
        <f ca="1">MAX(0,TODAY()-tblARAging[[#This Row],[Due Date]])</f>
        <v>103</v>
      </c>
      <c r="F14" s="3">
        <f>VLOOKUP(tblARAging[[#This Row],[Invoice]],tblSales[[#All],[Invoice]:[Outstanding]],8,0)</f>
        <v>5800000</v>
      </c>
      <c r="G14" t="str">
        <f ca="1">IF(tblARAging[Days Overdue]=0,"Current", IF(tblARAging[Days Overdue]&lt;=30,"1-30 Days",IF(tblARAging[Days Overdue]&lt;=60,"31-60 Days","&gt;60 Days")))</f>
        <v>&gt;60 Days</v>
      </c>
      <c r="H14" s="11" t="str">
        <f>VLOOKUP(tblARAging[[#This Row],[Invoice]],tblSales[#All],9,0)</f>
        <v>Open</v>
      </c>
    </row>
  </sheetData>
  <mergeCells count="3">
    <mergeCell ref="A1:H1"/>
    <mergeCell ref="A2:H2"/>
    <mergeCell ref="A3:H3"/>
  </mergeCells>
  <conditionalFormatting sqref="H6:H14">
    <cfRule type="cellIs" dxfId="34" priority="5" operator="equal">
      <formula>"Open"</formula>
    </cfRule>
    <cfRule type="cellIs" dxfId="33" priority="6" operator="equal">
      <formula>"Partial"</formula>
    </cfRule>
  </conditionalFormatting>
  <conditionalFormatting sqref="G7:G14">
    <cfRule type="cellIs" dxfId="32" priority="1" operator="equal">
      <formula>"&gt;60 Days"</formula>
    </cfRule>
    <cfRule type="cellIs" dxfId="31" priority="2" operator="equal">
      <formula>"31-60 Days"</formula>
    </cfRule>
    <cfRule type="cellIs" dxfId="30" priority="3" operator="equal">
      <formula>"1-30 Days"</formula>
    </cfRule>
    <cfRule type="cellIs" dxfId="29" priority="4" operator="equal">
      <formula>"Current"</formula>
    </cfRule>
  </conditionalFormatting>
  <pageMargins left="0.7" right="0.7" top="0.75" bottom="0.75" header="0.3" footer="0.3"/>
  <pageSetup orientation="portrait" horizontalDpi="0" verticalDpi="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'Sales Invoice (AR)'!$A$2:$A$10</xm:f>
          </x14:formula1>
          <xm:sqref>A7:A14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showGridLines="0" workbookViewId="0">
      <selection activeCell="F12" sqref="F12"/>
    </sheetView>
  </sheetViews>
  <sheetFormatPr defaultRowHeight="15" x14ac:dyDescent="0.25"/>
  <cols>
    <col min="1" max="1" width="14.140625" bestFit="1" customWidth="1"/>
    <col min="2" max="2" width="18.5703125" bestFit="1" customWidth="1"/>
    <col min="3" max="3" width="16.5703125" bestFit="1" customWidth="1"/>
    <col min="4" max="4" width="14.140625" customWidth="1"/>
    <col min="5" max="5" width="16.42578125" bestFit="1" customWidth="1"/>
    <col min="6" max="6" width="16.42578125" customWidth="1"/>
    <col min="7" max="7" width="19" bestFit="1" customWidth="1"/>
    <col min="8" max="8" width="11" bestFit="1" customWidth="1"/>
  </cols>
  <sheetData>
    <row r="1" spans="1:10" ht="21" x14ac:dyDescent="0.35">
      <c r="A1" s="46" t="s">
        <v>175</v>
      </c>
      <c r="B1" s="46"/>
      <c r="C1" s="46"/>
      <c r="D1" s="46"/>
      <c r="E1" s="46"/>
      <c r="F1" s="46"/>
      <c r="G1" s="46"/>
      <c r="H1" s="46"/>
      <c r="I1" s="27"/>
      <c r="J1" s="27"/>
    </row>
    <row r="2" spans="1:10" ht="18.75" x14ac:dyDescent="0.3">
      <c r="A2" s="47" t="s">
        <v>176</v>
      </c>
      <c r="B2" s="47"/>
      <c r="C2" s="47"/>
      <c r="D2" s="47"/>
      <c r="E2" s="47"/>
      <c r="F2" s="47"/>
      <c r="G2" s="47"/>
      <c r="H2" s="47"/>
      <c r="I2" s="28"/>
      <c r="J2" s="28"/>
    </row>
    <row r="3" spans="1:10" x14ac:dyDescent="0.25">
      <c r="A3" s="48" t="s">
        <v>177</v>
      </c>
      <c r="B3" s="48"/>
      <c r="C3" s="48"/>
      <c r="D3" s="48"/>
      <c r="E3" s="48"/>
      <c r="F3" s="48"/>
      <c r="G3" s="48"/>
      <c r="H3" s="48"/>
      <c r="I3" s="29"/>
      <c r="J3" s="29"/>
    </row>
    <row r="5" spans="1:10" x14ac:dyDescent="0.25">
      <c r="A5" s="2" t="s">
        <v>22</v>
      </c>
      <c r="B5" s="2" t="s">
        <v>160</v>
      </c>
      <c r="C5" s="2" t="s">
        <v>131</v>
      </c>
      <c r="D5" s="2" t="s">
        <v>25</v>
      </c>
      <c r="E5" s="2" t="s">
        <v>51</v>
      </c>
      <c r="F5" s="2" t="s">
        <v>132</v>
      </c>
      <c r="G5" s="2" t="s">
        <v>133</v>
      </c>
      <c r="H5" s="2" t="s">
        <v>27</v>
      </c>
    </row>
    <row r="6" spans="1:10" x14ac:dyDescent="0.25">
      <c r="A6" t="s">
        <v>44</v>
      </c>
      <c r="B6" t="str">
        <f>VLOOKUP(Table1012[[#This Row],[Invoice]],tblPurchase[[#All],[Invoice]:[Supplier]],3,0)</f>
        <v>PT Kertas Indonesia</v>
      </c>
      <c r="C6" s="30">
        <f>VLOOKUP(Table1012[[#This Row],[Invoice]],tblPurchase[[#All],[Invoice]:[Date]],2,0)</f>
        <v>46055</v>
      </c>
      <c r="D6" s="30">
        <f>VLOOKUP(Table1012[[#This Row],[Invoice]],tblPurchase[[#All],[Invoice]:[Due Date]],5,0)</f>
        <v>46085</v>
      </c>
      <c r="E6" s="3">
        <f>VLOOKUP(Table1012[[#This Row],[Invoice]],tblPurchase[[#All],[Invoice]:[Outstanding]],11,0)</f>
        <v>0</v>
      </c>
      <c r="F6" s="31">
        <f ca="1">MAX(0,TODAY()-Table1012[[#This Row],[Due Date]])</f>
        <v>127</v>
      </c>
      <c r="G6" t="str">
        <f>IF(Table1012[[#This Row],[Outstanding]]=0,"",IF(Table1012[[#This Row],[Days Overdue]]=0,"Current",IF(Table1012[[#This Row],[Days Overdue]]&lt;=30,"1-30 Days",IF(Table1012[[#This Row],[Days Overdue]]&lt;=60,"31-60 Days",IF(Table1012[[#This Row],[Days Overdue]]&lt;90,"61-90 Days","Over 90 Days")))))</f>
        <v/>
      </c>
      <c r="H6" t="str">
        <f>VLOOKUP(Table1012[[#This Row],[Invoice]],tblPurchase[#All],12,0)</f>
        <v>Paid</v>
      </c>
    </row>
    <row r="7" spans="1:10" x14ac:dyDescent="0.25">
      <c r="A7" t="s">
        <v>45</v>
      </c>
      <c r="B7" t="str">
        <f>VLOOKUP(Table1012[[#This Row],[Invoice]],tblPurchase[[#All],[Invoice]:[Supplier]],3,0)</f>
        <v>PT Pena Nusantara</v>
      </c>
      <c r="C7" s="30">
        <f>VLOOKUP(Table1012[[#This Row],[Invoice]],tblPurchase[[#All],[Invoice]:[Date]],2,0)</f>
        <v>46059</v>
      </c>
      <c r="D7" s="30">
        <f>VLOOKUP(Table1012[[#This Row],[Invoice]],tblPurchase[[#All],[Invoice]:[Due Date]],5,0)</f>
        <v>46080</v>
      </c>
      <c r="E7" s="3">
        <f>VLOOKUP(Table1012[[#This Row],[Invoice]],tblPurchase[[#All],[Invoice]:[Outstanding]],11,0)</f>
        <v>0</v>
      </c>
      <c r="F7" s="31">
        <f ca="1">MAX(0,TODAY()-Table1012[[#This Row],[Due Date]])</f>
        <v>132</v>
      </c>
      <c r="G7" t="str">
        <f>IF(Table1012[[#This Row],[Outstanding]]=0,"",IF(Table1012[[#This Row],[Days Overdue]]=0,"Current",IF(Table1012[[#This Row],[Days Overdue]]&lt;=30,"1-30 Days",IF(Table1012[[#This Row],[Days Overdue]]&lt;=60,"31-60 Days",IF(Table1012[[#This Row],[Days Overdue]]&lt;90,"61-90 Days","Over 90 Days")))))</f>
        <v/>
      </c>
      <c r="H7" t="str">
        <f>VLOOKUP(Table1012[[#This Row],[Invoice]],tblPurchase[#All],12,0)</f>
        <v>Paid</v>
      </c>
    </row>
    <row r="8" spans="1:10" x14ac:dyDescent="0.25">
      <c r="A8" t="s">
        <v>46</v>
      </c>
      <c r="B8" t="str">
        <f>VLOOKUP(Table1012[[#This Row],[Invoice]],tblPurchase[[#All],[Invoice]:[Supplier]],3,0)</f>
        <v>PT Office Supply</v>
      </c>
      <c r="C8" s="30">
        <f>VLOOKUP(Table1012[[#This Row],[Invoice]],tblPurchase[[#All],[Invoice]:[Date]],2,0)</f>
        <v>46065</v>
      </c>
      <c r="D8" s="30">
        <f>VLOOKUP(Table1012[[#This Row],[Invoice]],tblPurchase[[#All],[Invoice]:[Due Date]],5,0)</f>
        <v>46095</v>
      </c>
      <c r="E8" s="3">
        <f>VLOOKUP(Table1012[[#This Row],[Invoice]],tblPurchase[[#All],[Invoice]:[Outstanding]],11,0)</f>
        <v>0</v>
      </c>
      <c r="F8" s="31">
        <f ca="1">MAX(0,TODAY()-Table1012[[#This Row],[Due Date]])</f>
        <v>117</v>
      </c>
      <c r="G8" t="str">
        <f>IF(Table1012[[#This Row],[Outstanding]]=0,"",IF(Table1012[[#This Row],[Days Overdue]]=0,"Current",IF(Table1012[[#This Row],[Days Overdue]]&lt;=30,"1-30 Days",IF(Table1012[[#This Row],[Days Overdue]]&lt;=60,"31-60 Days",IF(Table1012[[#This Row],[Days Overdue]]&lt;90,"61-90 Days","Over 90 Days")))))</f>
        <v/>
      </c>
      <c r="H8" t="str">
        <f>VLOOKUP(Table1012[[#This Row],[Invoice]],tblPurchase[#All],12,0)</f>
        <v>Paid</v>
      </c>
    </row>
    <row r="9" spans="1:10" x14ac:dyDescent="0.25">
      <c r="A9" t="s">
        <v>47</v>
      </c>
      <c r="B9" t="str">
        <f>VLOOKUP(Table1012[[#This Row],[Invoice]],tblPurchase[[#All],[Invoice]:[Supplier]],3,0)</f>
        <v>PT Kertas Indonesia</v>
      </c>
      <c r="C9" s="30">
        <f>VLOOKUP(Table1012[[#This Row],[Invoice]],tblPurchase[[#All],[Invoice]:[Date]],2,0)</f>
        <v>46068</v>
      </c>
      <c r="D9" s="30">
        <f>VLOOKUP(Table1012[[#This Row],[Invoice]],tblPurchase[[#All],[Invoice]:[Due Date]],5,0)</f>
        <v>46098</v>
      </c>
      <c r="E9" s="3">
        <f>VLOOKUP(Table1012[[#This Row],[Invoice]],tblPurchase[[#All],[Invoice]:[Outstanding]],11,0)</f>
        <v>850000</v>
      </c>
      <c r="F9" s="31">
        <f ca="1">MAX(0,TODAY()-Table1012[[#This Row],[Due Date]])</f>
        <v>114</v>
      </c>
      <c r="G9" t="str">
        <f ca="1">IF(Table1012[[#This Row],[Outstanding]]=0,"",IF(Table1012[[#This Row],[Days Overdue]]=0,"Current",IF(Table1012[[#This Row],[Days Overdue]]&lt;=30,"1-30 Days",IF(Table1012[[#This Row],[Days Overdue]]&lt;=60,"31-60 Days",IF(Table1012[[#This Row],[Days Overdue]]&lt;90,"61-90 Days","Over 90 Days")))))</f>
        <v>Over 90 Days</v>
      </c>
      <c r="H9" t="str">
        <f>VLOOKUP(Table1012[[#This Row],[Invoice]],tblPurchase[#All],12,0)</f>
        <v>Partial</v>
      </c>
    </row>
  </sheetData>
  <mergeCells count="3">
    <mergeCell ref="A1:H1"/>
    <mergeCell ref="A2:H2"/>
    <mergeCell ref="A3:H3"/>
  </mergeCells>
  <conditionalFormatting sqref="G6:G9">
    <cfRule type="cellIs" dxfId="22" priority="4" operator="equal">
      <formula>"Over 90 Days"</formula>
    </cfRule>
    <cfRule type="cellIs" dxfId="21" priority="5" operator="equal">
      <formula>"61-90 Days"</formula>
    </cfRule>
    <cfRule type="cellIs" dxfId="20" priority="6" operator="equal">
      <formula>"31-60 Days"</formula>
    </cfRule>
    <cfRule type="cellIs" dxfId="19" priority="7" operator="equal">
      <formula>"1-30 Days"</formula>
    </cfRule>
    <cfRule type="cellIs" dxfId="18" priority="8" operator="equal">
      <formula>"Current"</formula>
    </cfRule>
  </conditionalFormatting>
  <conditionalFormatting sqref="H5:H9">
    <cfRule type="cellIs" dxfId="17" priority="1" operator="equal">
      <formula>"Open"</formula>
    </cfRule>
    <cfRule type="cellIs" dxfId="16" priority="2" operator="equal">
      <formula>"Partial"</formula>
    </cfRule>
    <cfRule type="cellIs" dxfId="15" priority="3" operator="equal">
      <formula>"Paid"</formula>
    </cfRule>
  </conditionalFormatting>
  <pageMargins left="0.7" right="0.7" top="0.75" bottom="0.75" header="0.3" footer="0.3"/>
  <pageSetup orientation="portrait" horizontalDpi="0" verticalDpi="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'Purchase Invoice (AP)'!$A$3:$A$6</xm:f>
          </x14:formula1>
          <xm:sqref>A5:A9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selection activeCell="G25" sqref="G25"/>
    </sheetView>
  </sheetViews>
  <sheetFormatPr defaultRowHeight="15" x14ac:dyDescent="0.25"/>
  <cols>
    <col min="1" max="1" width="20.5703125" customWidth="1"/>
    <col min="2" max="2" width="14.85546875" bestFit="1" customWidth="1"/>
    <col min="3" max="3" width="35.28515625" bestFit="1" customWidth="1"/>
    <col min="4" max="4" width="22.85546875" customWidth="1"/>
    <col min="5" max="5" width="13.140625" customWidth="1"/>
    <col min="6" max="7" width="18.7109375" bestFit="1" customWidth="1"/>
    <col min="8" max="8" width="14.85546875" bestFit="1" customWidth="1"/>
  </cols>
  <sheetData>
    <row r="1" spans="1:8" x14ac:dyDescent="0.25">
      <c r="A1" s="9" t="s">
        <v>143</v>
      </c>
      <c r="B1" t="s">
        <v>138</v>
      </c>
      <c r="D1" s="9" t="s">
        <v>145</v>
      </c>
      <c r="E1" t="s">
        <v>139</v>
      </c>
      <c r="G1" s="9" t="s">
        <v>140</v>
      </c>
      <c r="H1" t="s">
        <v>121</v>
      </c>
    </row>
    <row r="2" spans="1:8" x14ac:dyDescent="0.25">
      <c r="A2" s="10" t="s">
        <v>10</v>
      </c>
      <c r="B2" s="12">
        <v>2300000</v>
      </c>
      <c r="D2" s="10" t="s">
        <v>17</v>
      </c>
      <c r="E2" s="12">
        <v>8350000</v>
      </c>
      <c r="G2" s="12">
        <v>31400000</v>
      </c>
      <c r="H2" s="11"/>
    </row>
    <row r="3" spans="1:8" x14ac:dyDescent="0.25">
      <c r="A3" s="10" t="s">
        <v>8</v>
      </c>
      <c r="B3" s="12">
        <v>7200000</v>
      </c>
      <c r="D3" s="10" t="s">
        <v>21</v>
      </c>
      <c r="E3" s="12">
        <v>2700000</v>
      </c>
      <c r="G3" t="s">
        <v>140</v>
      </c>
      <c r="H3" t="s">
        <v>123</v>
      </c>
    </row>
    <row r="4" spans="1:8" x14ac:dyDescent="0.25">
      <c r="A4" s="10" t="s">
        <v>4</v>
      </c>
      <c r="B4" s="12">
        <v>9600000</v>
      </c>
      <c r="D4" s="10" t="s">
        <v>19</v>
      </c>
      <c r="E4" s="12">
        <v>2250000</v>
      </c>
      <c r="G4" s="12">
        <v>850000</v>
      </c>
    </row>
    <row r="5" spans="1:8" x14ac:dyDescent="0.25">
      <c r="A5" s="10" t="s">
        <v>12</v>
      </c>
      <c r="B5" s="12">
        <v>11800000</v>
      </c>
      <c r="D5" s="10" t="s">
        <v>137</v>
      </c>
      <c r="E5" s="11">
        <v>13300000</v>
      </c>
      <c r="G5" t="s">
        <v>138</v>
      </c>
      <c r="H5" t="s">
        <v>117</v>
      </c>
    </row>
    <row r="6" spans="1:8" x14ac:dyDescent="0.25">
      <c r="A6" s="10" t="s">
        <v>6</v>
      </c>
      <c r="B6" s="12">
        <v>6500000</v>
      </c>
      <c r="G6" s="12">
        <v>37400000</v>
      </c>
    </row>
    <row r="7" spans="1:8" x14ac:dyDescent="0.25">
      <c r="A7" s="10" t="s">
        <v>137</v>
      </c>
      <c r="B7" s="11">
        <v>37400000</v>
      </c>
      <c r="G7" t="s">
        <v>139</v>
      </c>
      <c r="H7" t="s">
        <v>147</v>
      </c>
    </row>
    <row r="8" spans="1:8" x14ac:dyDescent="0.25">
      <c r="G8" s="12">
        <v>13300000</v>
      </c>
    </row>
    <row r="10" spans="1:8" x14ac:dyDescent="0.25">
      <c r="A10" s="11"/>
      <c r="C10" s="10"/>
      <c r="D10" s="11"/>
    </row>
    <row r="11" spans="1:8" x14ac:dyDescent="0.25">
      <c r="C11" s="10"/>
      <c r="D11" s="9" t="s">
        <v>146</v>
      </c>
      <c r="E11" t="s">
        <v>142</v>
      </c>
    </row>
    <row r="12" spans="1:8" x14ac:dyDescent="0.25">
      <c r="A12" s="9" t="s">
        <v>144</v>
      </c>
      <c r="B12" t="s">
        <v>141</v>
      </c>
      <c r="C12" s="10"/>
      <c r="D12" s="10" t="s">
        <v>31</v>
      </c>
      <c r="E12" s="11">
        <v>3</v>
      </c>
    </row>
    <row r="13" spans="1:8" x14ac:dyDescent="0.25">
      <c r="A13" s="10" t="s">
        <v>29</v>
      </c>
      <c r="B13" s="11">
        <v>5</v>
      </c>
      <c r="D13" s="10" t="s">
        <v>34</v>
      </c>
      <c r="E13" s="11">
        <v>1</v>
      </c>
    </row>
    <row r="14" spans="1:8" x14ac:dyDescent="0.25">
      <c r="A14" s="10" t="s">
        <v>34</v>
      </c>
      <c r="B14" s="11">
        <v>3</v>
      </c>
      <c r="D14" s="10" t="s">
        <v>137</v>
      </c>
      <c r="E14" s="11">
        <v>4</v>
      </c>
    </row>
    <row r="15" spans="1:8" x14ac:dyDescent="0.25">
      <c r="A15" s="10" t="s">
        <v>137</v>
      </c>
      <c r="B15" s="11">
        <v>8</v>
      </c>
    </row>
    <row r="18" spans="1:7" x14ac:dyDescent="0.25">
      <c r="A18" t="s">
        <v>50</v>
      </c>
      <c r="B18" t="s">
        <v>26</v>
      </c>
      <c r="C18" t="s">
        <v>116</v>
      </c>
      <c r="E18" s="9" t="s">
        <v>161</v>
      </c>
      <c r="F18" t="s">
        <v>140</v>
      </c>
    </row>
    <row r="19" spans="1:7" x14ac:dyDescent="0.25">
      <c r="A19" t="s">
        <v>117</v>
      </c>
      <c r="C19" t="s">
        <v>118</v>
      </c>
      <c r="E19" s="10" t="s">
        <v>162</v>
      </c>
      <c r="F19" s="11">
        <v>31400000</v>
      </c>
      <c r="G19" t="s">
        <v>164</v>
      </c>
    </row>
    <row r="20" spans="1:7" x14ac:dyDescent="0.25">
      <c r="A20" t="s">
        <v>119</v>
      </c>
      <c r="C20" t="s">
        <v>120</v>
      </c>
      <c r="E20" s="10" t="s">
        <v>137</v>
      </c>
      <c r="F20" s="11">
        <v>31400000</v>
      </c>
    </row>
    <row r="21" spans="1:7" x14ac:dyDescent="0.25">
      <c r="A21" t="s">
        <v>121</v>
      </c>
      <c r="C21" t="s">
        <v>122</v>
      </c>
    </row>
    <row r="22" spans="1:7" x14ac:dyDescent="0.25">
      <c r="A22" t="s">
        <v>123</v>
      </c>
      <c r="C22" t="s">
        <v>124</v>
      </c>
      <c r="E22" s="9" t="s">
        <v>161</v>
      </c>
      <c r="F22" t="s">
        <v>140</v>
      </c>
    </row>
    <row r="23" spans="1:7" x14ac:dyDescent="0.25">
      <c r="A23" t="s">
        <v>125</v>
      </c>
      <c r="C23" t="s">
        <v>126</v>
      </c>
      <c r="E23" s="10"/>
      <c r="F23" s="11">
        <v>0</v>
      </c>
    </row>
    <row r="24" spans="1:7" x14ac:dyDescent="0.25">
      <c r="A24" t="s">
        <v>127</v>
      </c>
      <c r="C24" t="s">
        <v>128</v>
      </c>
      <c r="E24" s="10" t="s">
        <v>163</v>
      </c>
      <c r="F24" s="11">
        <v>850000</v>
      </c>
      <c r="G24" t="s">
        <v>165</v>
      </c>
    </row>
    <row r="25" spans="1:7" x14ac:dyDescent="0.25">
      <c r="A25" t="s">
        <v>129</v>
      </c>
      <c r="C25" t="s">
        <v>130</v>
      </c>
      <c r="E25" s="10" t="s">
        <v>137</v>
      </c>
      <c r="F25" s="11">
        <v>850000</v>
      </c>
    </row>
  </sheetData>
  <pageMargins left="0.7" right="0.7" top="0.75" bottom="0.75" header="0.3" footer="0.3"/>
  <tableParts count="1">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C2" sqref="C2"/>
    </sheetView>
  </sheetViews>
  <sheetFormatPr defaultRowHeight="15" x14ac:dyDescent="0.25"/>
  <cols>
    <col min="1" max="1" width="11.5703125" bestFit="1" customWidth="1"/>
    <col min="2" max="2" width="9.85546875" bestFit="1" customWidth="1"/>
  </cols>
  <sheetData>
    <row r="1" spans="1:2" x14ac:dyDescent="0.25">
      <c r="A1" t="s">
        <v>134</v>
      </c>
      <c r="B1" t="s">
        <v>135</v>
      </c>
    </row>
    <row r="2" spans="1:2" x14ac:dyDescent="0.25">
      <c r="A2" t="s">
        <v>136</v>
      </c>
      <c r="B2" s="4">
        <v>46112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Read Me</vt:lpstr>
      <vt:lpstr>Dashboard</vt:lpstr>
      <vt:lpstr>Master Item</vt:lpstr>
      <vt:lpstr>Customers</vt:lpstr>
      <vt:lpstr>Suppliers</vt:lpstr>
      <vt:lpstr>Sales Invoice (AR)</vt:lpstr>
      <vt:lpstr>Customer Payment</vt:lpstr>
      <vt:lpstr>Purchase Invoice (AP)</vt:lpstr>
      <vt:lpstr>Supplier Payment</vt:lpstr>
      <vt:lpstr>AR Aging</vt:lpstr>
      <vt:lpstr>AP Aging</vt:lpstr>
      <vt:lpstr>Summary</vt:lpstr>
      <vt:lpstr>Setting</vt:lpstr>
      <vt:lpstr>Supplier_Name</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Wahyuni</dc:creator>
  <cp:lastModifiedBy>Sri Wahyuni</cp:lastModifiedBy>
  <dcterms:created xsi:type="dcterms:W3CDTF">2026-07-01T04:44:31Z</dcterms:created>
  <dcterms:modified xsi:type="dcterms:W3CDTF">2026-07-09T07:57:01Z</dcterms:modified>
</cp:coreProperties>
</file>