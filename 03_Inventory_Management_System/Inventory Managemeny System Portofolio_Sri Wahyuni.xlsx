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16275" windowHeight="9030" activeTab="1"/>
  </bookViews>
  <sheets>
    <sheet name="Read Me" sheetId="11" r:id="rId1"/>
    <sheet name="Dashboard" sheetId="1" r:id="rId2"/>
    <sheet name="Summary" sheetId="2" r:id="rId3"/>
    <sheet name="Department Master" sheetId="9" r:id="rId4"/>
    <sheet name="Category Master" sheetId="8" r:id="rId5"/>
    <sheet name="Item Master" sheetId="3" r:id="rId6"/>
    <sheet name="Stock In" sheetId="4" r:id="rId7"/>
    <sheet name="Stock Out" sheetId="5" r:id="rId8"/>
    <sheet name="Stock Adjustment" sheetId="10" r:id="rId9"/>
    <sheet name="Inventory Report" sheetId="6" r:id="rId10"/>
  </sheets>
  <calcPr calcId="144525"/>
  <pivotCaches>
    <pivotCache cacheId="12" r:id="rId11"/>
    <pivotCache cacheId="13" r:id="rId12"/>
    <pivotCache cacheId="14" r:id="rId13"/>
  </pivotCaches>
</workbook>
</file>

<file path=xl/calcChain.xml><?xml version="1.0" encoding="utf-8"?>
<calcChain xmlns="http://schemas.openxmlformats.org/spreadsheetml/2006/main">
  <c r="C8" i="1" l="1"/>
  <c r="C25" i="2"/>
  <c r="C23" i="2"/>
  <c r="B25" i="2"/>
  <c r="B24" i="2"/>
  <c r="B23" i="2"/>
  <c r="B13" i="6" l="1"/>
  <c r="B14" i="6"/>
  <c r="C13" i="6"/>
  <c r="C14" i="6"/>
  <c r="D13" i="6"/>
  <c r="D14" i="6"/>
  <c r="E13" i="6"/>
  <c r="E14" i="6"/>
  <c r="F13" i="6"/>
  <c r="F14" i="6"/>
  <c r="G13" i="6"/>
  <c r="G14" i="6"/>
  <c r="I13" i="6"/>
  <c r="I14" i="6"/>
  <c r="B9" i="6"/>
  <c r="B10" i="6"/>
  <c r="B11" i="6"/>
  <c r="B12" i="6"/>
  <c r="C9" i="6"/>
  <c r="C10" i="6"/>
  <c r="C11" i="6"/>
  <c r="C12" i="6"/>
  <c r="D9" i="6"/>
  <c r="D10" i="6"/>
  <c r="D11" i="6"/>
  <c r="D12" i="6"/>
  <c r="E9" i="6"/>
  <c r="E10" i="6"/>
  <c r="E11" i="6"/>
  <c r="E12" i="6"/>
  <c r="F9" i="6"/>
  <c r="F10" i="6"/>
  <c r="F11" i="6"/>
  <c r="F12" i="6"/>
  <c r="G9" i="6"/>
  <c r="G10" i="6"/>
  <c r="G11" i="6"/>
  <c r="G12" i="6"/>
  <c r="I9" i="6"/>
  <c r="I10" i="6"/>
  <c r="I11" i="6"/>
  <c r="I12" i="6"/>
  <c r="B6" i="6"/>
  <c r="B7" i="6"/>
  <c r="B8" i="6"/>
  <c r="C6" i="6"/>
  <c r="C7" i="6"/>
  <c r="C8" i="6"/>
  <c r="D6" i="6"/>
  <c r="D7" i="6"/>
  <c r="D8" i="6"/>
  <c r="E6" i="6"/>
  <c r="E7" i="6"/>
  <c r="E8" i="6"/>
  <c r="F6" i="6"/>
  <c r="F7" i="6"/>
  <c r="H7" i="6" s="1"/>
  <c r="K7" i="6" s="1"/>
  <c r="F8" i="6"/>
  <c r="G6" i="6"/>
  <c r="G7" i="6"/>
  <c r="G8" i="6"/>
  <c r="I6" i="6"/>
  <c r="I7" i="6"/>
  <c r="I8" i="6"/>
  <c r="G5" i="6"/>
  <c r="F5" i="6"/>
  <c r="I5" i="6"/>
  <c r="E5" i="6"/>
  <c r="B5" i="6"/>
  <c r="C5" i="6"/>
  <c r="D5" i="6"/>
  <c r="H4" i="5"/>
  <c r="I4" i="5" s="1"/>
  <c r="H5" i="5"/>
  <c r="I5" i="5" s="1"/>
  <c r="H3" i="5"/>
  <c r="I3" i="5" s="1"/>
  <c r="F4" i="5"/>
  <c r="F5" i="5"/>
  <c r="F3" i="5"/>
  <c r="E4" i="5"/>
  <c r="E5" i="5"/>
  <c r="E3" i="5"/>
  <c r="H4" i="4"/>
  <c r="I4" i="4" s="1"/>
  <c r="H5" i="4"/>
  <c r="I5" i="4" s="1"/>
  <c r="H6" i="4"/>
  <c r="I6" i="4" s="1"/>
  <c r="H7" i="4"/>
  <c r="I7" i="4" s="1"/>
  <c r="H3" i="4"/>
  <c r="I3" i="4" s="1"/>
  <c r="F4" i="4"/>
  <c r="F5" i="4"/>
  <c r="F6" i="4"/>
  <c r="F7" i="4"/>
  <c r="F3" i="4"/>
  <c r="E4" i="4"/>
  <c r="E5" i="4"/>
  <c r="E6" i="4"/>
  <c r="E7" i="4"/>
  <c r="E3" i="4"/>
  <c r="H12" i="6" l="1"/>
  <c r="J12" i="6" s="1"/>
  <c r="H10" i="6"/>
  <c r="K10" i="6" s="1"/>
  <c r="H14" i="6"/>
  <c r="K14" i="6" s="1"/>
  <c r="H5" i="6"/>
  <c r="J5" i="6" s="1"/>
  <c r="H8" i="6"/>
  <c r="H6" i="6"/>
  <c r="J6" i="6" s="1"/>
  <c r="H11" i="6"/>
  <c r="K11" i="6" s="1"/>
  <c r="H9" i="6"/>
  <c r="J9" i="6" s="1"/>
  <c r="H13" i="6"/>
  <c r="K12" i="6"/>
  <c r="E8" i="1"/>
  <c r="K13" i="6"/>
  <c r="J13" i="6"/>
  <c r="J14" i="6"/>
  <c r="J7" i="6"/>
  <c r="J11" i="6"/>
  <c r="K9" i="6"/>
  <c r="J8" i="6"/>
  <c r="K8" i="6"/>
  <c r="K6" i="6" l="1"/>
  <c r="K5" i="6"/>
  <c r="I8" i="1" s="1"/>
  <c r="J10" i="6"/>
  <c r="K8" i="1"/>
  <c r="G8" i="1"/>
</calcChain>
</file>

<file path=xl/sharedStrings.xml><?xml version="1.0" encoding="utf-8"?>
<sst xmlns="http://schemas.openxmlformats.org/spreadsheetml/2006/main" count="230" uniqueCount="129">
  <si>
    <t>Category Code</t>
  </si>
  <si>
    <t>Category Name</t>
  </si>
  <si>
    <t>CAT001</t>
  </si>
  <si>
    <t>Stationery</t>
  </si>
  <si>
    <t>CAT002</t>
  </si>
  <si>
    <t>Office Equipment</t>
  </si>
  <si>
    <t>CAT003</t>
  </si>
  <si>
    <t>Computer Accessories</t>
  </si>
  <si>
    <t>CAT004</t>
  </si>
  <si>
    <t>Pantry</t>
  </si>
  <si>
    <t>CAT005</t>
  </si>
  <si>
    <t>Cleaning Supplies</t>
  </si>
  <si>
    <t>Item Code</t>
  </si>
  <si>
    <t>Item Name</t>
  </si>
  <si>
    <t>Category</t>
  </si>
  <si>
    <t>Unit</t>
  </si>
  <si>
    <t>Minimum Stock</t>
  </si>
  <si>
    <t>Standard Cost</t>
  </si>
  <si>
    <t>IT001</t>
  </si>
  <si>
    <t>A4 Paper</t>
  </si>
  <si>
    <t>Rim</t>
  </si>
  <si>
    <t>IT002</t>
  </si>
  <si>
    <t>Ballpoint Pen</t>
  </si>
  <si>
    <t>Pcs</t>
  </si>
  <si>
    <t>IT003</t>
  </si>
  <si>
    <t>Notebook A5</t>
  </si>
  <si>
    <t>IT004</t>
  </si>
  <si>
    <t>Printer Ink</t>
  </si>
  <si>
    <t>Box</t>
  </si>
  <si>
    <t>IT005</t>
  </si>
  <si>
    <t>Stapler</t>
  </si>
  <si>
    <t>IT006</t>
  </si>
  <si>
    <t>Mouse Wireless</t>
  </si>
  <si>
    <t>IT007</t>
  </si>
  <si>
    <t>Keyboard</t>
  </si>
  <si>
    <t>IT008</t>
  </si>
  <si>
    <t>Coffee</t>
  </si>
  <si>
    <t>Pack</t>
  </si>
  <si>
    <t>IT009</t>
  </si>
  <si>
    <t>Tissue</t>
  </si>
  <si>
    <t>IT010</t>
  </si>
  <si>
    <t>Whiteboard Marker</t>
  </si>
  <si>
    <t>GRN No</t>
  </si>
  <si>
    <t>Date</t>
  </si>
  <si>
    <t>Supplier</t>
  </si>
  <si>
    <t>Qty</t>
  </si>
  <si>
    <t>Unit Cost</t>
  </si>
  <si>
    <t>Total Cost</t>
  </si>
  <si>
    <t>GRN001</t>
  </si>
  <si>
    <t>PT Kertas Indonesia</t>
  </si>
  <si>
    <t>GRN002</t>
  </si>
  <si>
    <t>PT Pena Nusantara</t>
  </si>
  <si>
    <t>GRN003</t>
  </si>
  <si>
    <t>PT Office Supply</t>
  </si>
  <si>
    <t>GRN004</t>
  </si>
  <si>
    <t>GRN005</t>
  </si>
  <si>
    <t>PT Tech Indonesia</t>
  </si>
  <si>
    <t>Issue No</t>
  </si>
  <si>
    <t>Department</t>
  </si>
  <si>
    <t>Item</t>
  </si>
  <si>
    <t>ISS001</t>
  </si>
  <si>
    <t>Finance</t>
  </si>
  <si>
    <t>ISS002</t>
  </si>
  <si>
    <t>HR</t>
  </si>
  <si>
    <t>ISS003</t>
  </si>
  <si>
    <t>IT</t>
  </si>
  <si>
    <t>Sales</t>
  </si>
  <si>
    <t>Warehouse</t>
  </si>
  <si>
    <t>Marketing</t>
  </si>
  <si>
    <t>Administration</t>
  </si>
  <si>
    <t>Adjustment No</t>
  </si>
  <si>
    <t>Qty (+/-)</t>
  </si>
  <si>
    <t>Reason</t>
  </si>
  <si>
    <t>ADJ001</t>
  </si>
  <si>
    <t>Damaged</t>
  </si>
  <si>
    <t>ADJ002</t>
  </si>
  <si>
    <t>Stock Count Adjustment</t>
  </si>
  <si>
    <t>Min Stock</t>
  </si>
  <si>
    <t>Stock In</t>
  </si>
  <si>
    <t>Stock Out</t>
  </si>
  <si>
    <t>Current Stock</t>
  </si>
  <si>
    <t>Inventory Vaue</t>
  </si>
  <si>
    <t>Stock Status</t>
  </si>
  <si>
    <t>Row Labels</t>
  </si>
  <si>
    <t>Grand Total</t>
  </si>
  <si>
    <t>PT Nusantara Office Supplies</t>
  </si>
  <si>
    <t>Period: January 2026</t>
  </si>
  <si>
    <t>Total Items</t>
  </si>
  <si>
    <t>Project Information</t>
  </si>
  <si>
    <t>Company</t>
  </si>
  <si>
    <t>Period</t>
  </si>
  <si>
    <t>Accounting Basis</t>
  </si>
  <si>
    <t>Accrual Basis</t>
  </si>
  <si>
    <t>Currency</t>
  </si>
  <si>
    <t>Indonesian Rupiah (IDR)</t>
  </si>
  <si>
    <t>Software</t>
  </si>
  <si>
    <t>Microsoft Excel</t>
  </si>
  <si>
    <t>Total Inventory Value</t>
  </si>
  <si>
    <t>Low Stock</t>
  </si>
  <si>
    <t>Out Of Stock</t>
  </si>
  <si>
    <t>Inventory Management Dashboard</t>
  </si>
  <si>
    <t>Sum of Inventory Vaue</t>
  </si>
  <si>
    <t>Sum of Qty</t>
  </si>
  <si>
    <t>Stock Adjustment</t>
  </si>
  <si>
    <t>Stock Inventory Report</t>
  </si>
  <si>
    <t>PT. Nusantara Office Supplies</t>
  </si>
  <si>
    <t>January,2026</t>
  </si>
  <si>
    <t>Objective</t>
  </si>
  <si>
    <t>Features</t>
  </si>
  <si>
    <t>✅ Dashboard</t>
  </si>
  <si>
    <t>Excel Skills</t>
  </si>
  <si>
    <t>-</t>
  </si>
  <si>
    <t>SUMIFS</t>
  </si>
  <si>
    <t>IF</t>
  </si>
  <si>
    <t>VLOOKUP/XLOOKUP</t>
  </si>
  <si>
    <t>Data Validation</t>
  </si>
  <si>
    <t>Conditional Formatting</t>
  </si>
  <si>
    <t>Charts</t>
  </si>
  <si>
    <t>Inventory Management System</t>
  </si>
  <si>
    <t>This project is a Microsoft Excel-based Inventory Management System developed to record stock movements, monitor inventory levels, calculate inventory value, identify low stock items, and present key inventory insights through an interactive dashboard.</t>
  </si>
  <si>
    <t>✅ Master Data</t>
  </si>
  <si>
    <t>✅ Stock In</t>
  </si>
  <si>
    <t>✅ Stock Out</t>
  </si>
  <si>
    <t>✅ Inventory Report</t>
  </si>
  <si>
    <t>✅ Stock Adjustment</t>
  </si>
  <si>
    <t>Pivot Tables</t>
  </si>
  <si>
    <t>Prepared By</t>
  </si>
  <si>
    <t>Sri Wahyuni</t>
  </si>
  <si>
    <t>Accounting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</si>
</sst>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_-[$Rp-421]* #,##0_-;\-[$Rp-421]* #,##0_-;_-[$Rp-421]* &quot;-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1" applyNumberFormat="1" applyFont="1"/>
    <xf numFmtId="15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164" fontId="0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Fill="1" applyAlignment="1">
      <alignment horizontal="center" vertical="center"/>
    </xf>
    <xf numFmtId="0" fontId="0" fillId="0" borderId="3" xfId="0" applyBorder="1"/>
    <xf numFmtId="17" fontId="0" fillId="0" borderId="3" xfId="0" applyNumberFormat="1" applyBorder="1" applyAlignment="1">
      <alignment horizontal="left"/>
    </xf>
    <xf numFmtId="0" fontId="0" fillId="0" borderId="3" xfId="0" applyFill="1" applyBorder="1"/>
    <xf numFmtId="0" fontId="0" fillId="0" borderId="0" xfId="0" applyNumberFormat="1"/>
    <xf numFmtId="0" fontId="4" fillId="8" borderId="0" xfId="0" applyFont="1" applyFill="1" applyAlignment="1"/>
    <xf numFmtId="0" fontId="3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0" fillId="0" borderId="0" xfId="0" applyAlignment="1">
      <alignment wrapText="1"/>
    </xf>
    <xf numFmtId="1" fontId="2" fillId="4" borderId="0" xfId="1" applyNumberFormat="1" applyFont="1" applyFill="1" applyAlignment="1">
      <alignment horizontal="center"/>
    </xf>
    <xf numFmtId="1" fontId="2" fillId="5" borderId="0" xfId="1" applyNumberFormat="1" applyFont="1" applyFill="1" applyAlignment="1">
      <alignment horizontal="center"/>
    </xf>
    <xf numFmtId="166" fontId="2" fillId="6" borderId="0" xfId="0" applyNumberFormat="1" applyFont="1" applyFill="1" applyAlignment="1">
      <alignment horizontal="center" vertical="center"/>
    </xf>
    <xf numFmtId="1" fontId="2" fillId="7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0"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alignment horizontal="center" vertical="bottom" textRotation="0" wrapText="0" indent="0" justifyLastLine="0" shrinkToFit="0" readingOrder="0"/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20" formatCode="d\-mmm\-yy"/>
    </dxf>
    <dxf>
      <alignment horizontal="center" vertical="bottom" textRotation="0" wrapText="0" indent="0" justifyLastLine="0" shrinkToFit="0" readingOrder="0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20" formatCode="d\-mmm\-yy"/>
    </dxf>
    <dxf>
      <numFmt numFmtId="164" formatCode="_(* #,##0_);_(* \(#,##0\);_(* &quot;-&quot;??_);_(@_)"/>
    </dxf>
    <dxf>
      <alignment horizontal="left" vertical="bottom" textRotation="0" wrapText="0" indent="0" justifyLastLine="0" shrinkToFit="0" readingOrder="0"/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Managemeny System Portofolio_Sri Wahyuni.xlsx]Summary!PivotTable2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Inventory Value by Category</a:t>
            </a:r>
          </a:p>
        </c:rich>
      </c:tx>
      <c:layout>
        <c:manualLayout>
          <c:xMode val="edge"/>
          <c:yMode val="edge"/>
          <c:x val="0.10000877211303494"/>
          <c:y val="3.5353521294233158E-2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layout>
            <c:manualLayout>
              <c:x val="5.5555555555555046E-3"/>
              <c:y val="-0.20833333333333334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layout>
            <c:manualLayout>
              <c:x val="-1.0185067526415994E-16"/>
              <c:y val="-0.29166666666666669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layout>
            <c:manualLayout>
              <c:x val="5.5555555555555046E-3"/>
              <c:y val="-0.20833333333333334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dLbl>
          <c:idx val="0"/>
          <c:layout>
            <c:manualLayout>
              <c:x val="-1.0185067526415994E-16"/>
              <c:y val="-0.29166666666666669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dLbl>
          <c:idx val="0"/>
          <c:layout>
            <c:manualLayout>
              <c:x val="5.5556715887966936E-3"/>
              <c:y val="-0.12247469876930774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dLbl>
          <c:idx val="0"/>
          <c:layout>
            <c:manualLayout>
              <c:x val="-2.7847977888705555E-7"/>
              <c:y val="-0.18560598679472406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dLbl>
              <c:idx val="2"/>
              <c:layout>
                <c:manualLayout>
                  <c:x val="5.5556715887966936E-3"/>
                  <c:y val="-0.122474698769307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-2.7847977888705555E-7"/>
                  <c:y val="-0.185605986794724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Summary!$A$4:$A$9</c:f>
              <c:strCache>
                <c:ptCount val="5"/>
                <c:pt idx="0">
                  <c:v>Cleaning Supplies</c:v>
                </c:pt>
                <c:pt idx="1">
                  <c:v>Computer Accessories</c:v>
                </c:pt>
                <c:pt idx="2">
                  <c:v>Office Equipment</c:v>
                </c:pt>
                <c:pt idx="3">
                  <c:v>Pantry</c:v>
                </c:pt>
                <c:pt idx="4">
                  <c:v>Stationery</c:v>
                </c:pt>
              </c:strCache>
            </c:strRef>
          </c:cat>
          <c:val>
            <c:numRef>
              <c:f>Summary!$B$4:$B$9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6600000</c:v>
                </c:pt>
                <c:pt idx="3">
                  <c:v>0</c:v>
                </c:pt>
                <c:pt idx="4">
                  <c:v>10049000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2105088"/>
        <c:axId val="261688128"/>
      </c:barChart>
      <c:catAx>
        <c:axId val="342105088"/>
        <c:scaling>
          <c:orientation val="minMax"/>
        </c:scaling>
        <c:delete val="0"/>
        <c:axPos val="b"/>
        <c:majorTickMark val="out"/>
        <c:minorTickMark val="none"/>
        <c:tickLblPos val="nextTo"/>
        <c:crossAx val="261688128"/>
        <c:crosses val="autoZero"/>
        <c:auto val="1"/>
        <c:lblAlgn val="ctr"/>
        <c:lblOffset val="100"/>
        <c:noMultiLvlLbl val="0"/>
      </c:catAx>
      <c:valAx>
        <c:axId val="261688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2105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Stock In</a:t>
            </a:r>
            <a:r>
              <a:rPr lang="en-US" baseline="0"/>
              <a:t> Vs Stock Out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Summary!$B$22</c:f>
              <c:strCache>
                <c:ptCount val="1"/>
                <c:pt idx="0">
                  <c:v>Stock In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5.8608058608058608E-2"/>
                  <c:y val="-2.5348542458808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Summary!$A$23:$A$25</c:f>
              <c:strCache>
                <c:ptCount val="3"/>
                <c:pt idx="0">
                  <c:v>Computer Accessories</c:v>
                </c:pt>
                <c:pt idx="1">
                  <c:v>Office Equipment</c:v>
                </c:pt>
                <c:pt idx="2">
                  <c:v>Stationery</c:v>
                </c:pt>
              </c:strCache>
            </c:strRef>
          </c:cat>
          <c:val>
            <c:numRef>
              <c:f>Summary!$B$23:$B$25</c:f>
              <c:numCache>
                <c:formatCode>General</c:formatCode>
                <c:ptCount val="3"/>
                <c:pt idx="0">
                  <c:v>50</c:v>
                </c:pt>
                <c:pt idx="1">
                  <c:v>30</c:v>
                </c:pt>
                <c:pt idx="2">
                  <c:v>750</c:v>
                </c:pt>
              </c:numCache>
            </c:numRef>
          </c:val>
        </c:ser>
        <c:ser>
          <c:idx val="1"/>
          <c:order val="1"/>
          <c:tx>
            <c:strRef>
              <c:f>Summary!$C$22</c:f>
              <c:strCache>
                <c:ptCount val="1"/>
                <c:pt idx="0">
                  <c:v>Stock Out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4.4444444444444446E-2"/>
                  <c:y val="-3.03207932341792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5.2777777777777576E-2"/>
                  <c:y val="-2.91462525517644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Summary!$A$23:$A$25</c:f>
              <c:strCache>
                <c:ptCount val="3"/>
                <c:pt idx="0">
                  <c:v>Computer Accessories</c:v>
                </c:pt>
                <c:pt idx="1">
                  <c:v>Office Equipment</c:v>
                </c:pt>
                <c:pt idx="2">
                  <c:v>Stationery</c:v>
                </c:pt>
              </c:strCache>
            </c:strRef>
          </c:cat>
          <c:val>
            <c:numRef>
              <c:f>Summary!$C$23:$C$25</c:f>
              <c:numCache>
                <c:formatCode>General</c:formatCode>
                <c:ptCount val="3"/>
                <c:pt idx="0">
                  <c:v>2</c:v>
                </c:pt>
                <c:pt idx="2">
                  <c:v>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axId val="342589440"/>
        <c:axId val="261689856"/>
      </c:barChart>
      <c:catAx>
        <c:axId val="342589440"/>
        <c:scaling>
          <c:orientation val="minMax"/>
        </c:scaling>
        <c:delete val="0"/>
        <c:axPos val="b"/>
        <c:majorTickMark val="none"/>
        <c:minorTickMark val="none"/>
        <c:tickLblPos val="nextTo"/>
        <c:crossAx val="261689856"/>
        <c:crosses val="autoZero"/>
        <c:auto val="1"/>
        <c:lblAlgn val="ctr"/>
        <c:lblOffset val="100"/>
        <c:noMultiLvlLbl val="0"/>
      </c:catAx>
      <c:valAx>
        <c:axId val="2616898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425894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[Inventory Managemeny System Portofolio_Sri Wahyuni.xlsx]Summary!PivotTable8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 5 Inventory Value</a:t>
            </a:r>
          </a:p>
        </c:rich>
      </c:tx>
      <c:layout/>
      <c:overlay val="0"/>
    </c:title>
    <c:autoTitleDeleted val="0"/>
    <c:pivotFmts>
      <c:pivotFmt>
        <c:idx val="0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Summary!$H$3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Summary!$G$4:$G$9</c:f>
              <c:strCache>
                <c:ptCount val="5"/>
                <c:pt idx="0">
                  <c:v>A4 Paper</c:v>
                </c:pt>
                <c:pt idx="1">
                  <c:v>Stapler</c:v>
                </c:pt>
                <c:pt idx="2">
                  <c:v>Printer Ink</c:v>
                </c:pt>
                <c:pt idx="3">
                  <c:v>Notebook A5</c:v>
                </c:pt>
                <c:pt idx="4">
                  <c:v>Ballpoint Pen</c:v>
                </c:pt>
              </c:strCache>
            </c:strRef>
          </c:cat>
          <c:val>
            <c:numRef>
              <c:f>Summary!$H$4:$H$9</c:f>
              <c:numCache>
                <c:formatCode>General</c:formatCode>
                <c:ptCount val="5"/>
                <c:pt idx="0">
                  <c:v>5225000</c:v>
                </c:pt>
                <c:pt idx="1">
                  <c:v>3750000</c:v>
                </c:pt>
                <c:pt idx="2">
                  <c:v>2850000</c:v>
                </c:pt>
                <c:pt idx="3">
                  <c:v>2664000</c:v>
                </c:pt>
                <c:pt idx="4">
                  <c:v>2160000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342590976"/>
        <c:axId val="261692160"/>
      </c:barChart>
      <c:catAx>
        <c:axId val="342590976"/>
        <c:scaling>
          <c:orientation val="minMax"/>
        </c:scaling>
        <c:delete val="0"/>
        <c:axPos val="l"/>
        <c:majorTickMark val="none"/>
        <c:minorTickMark val="none"/>
        <c:tickLblPos val="nextTo"/>
        <c:crossAx val="261692160"/>
        <c:crosses val="autoZero"/>
        <c:auto val="1"/>
        <c:lblAlgn val="ctr"/>
        <c:lblOffset val="100"/>
        <c:noMultiLvlLbl val="0"/>
      </c:catAx>
      <c:valAx>
        <c:axId val="26169216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34259097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10</xdr:row>
      <xdr:rowOff>38099</xdr:rowOff>
    </xdr:from>
    <xdr:to>
      <xdr:col>6</xdr:col>
      <xdr:colOff>485775</xdr:colOff>
      <xdr:row>23</xdr:row>
      <xdr:rowOff>123825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114300</xdr:colOff>
      <xdr:row>9</xdr:row>
      <xdr:rowOff>133350</xdr:rowOff>
    </xdr:from>
    <xdr:to>
      <xdr:col>14</xdr:col>
      <xdr:colOff>533400</xdr:colOff>
      <xdr:row>24</xdr:row>
      <xdr:rowOff>9525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219074</xdr:colOff>
      <xdr:row>25</xdr:row>
      <xdr:rowOff>85724</xdr:rowOff>
    </xdr:from>
    <xdr:to>
      <xdr:col>6</xdr:col>
      <xdr:colOff>380999</xdr:colOff>
      <xdr:row>38</xdr:row>
      <xdr:rowOff>114299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ri Wahyuni" refreshedDate="46209.646667939815" createdVersion="4" refreshedVersion="4" minRefreshableVersion="3" recordCount="10">
  <cacheSource type="worksheet">
    <worksheetSource name="tblinvreport"/>
  </cacheSource>
  <cacheFields count="11">
    <cacheField name="Item Code" numFmtId="0">
      <sharedItems/>
    </cacheField>
    <cacheField name="Item Name" numFmtId="0">
      <sharedItems count="10">
        <s v="A4 Paper"/>
        <s v="Ballpoint Pen"/>
        <s v="Notebook A5"/>
        <s v="Printer Ink"/>
        <s v="Stapler"/>
        <s v="Mouse Wireless"/>
        <s v="Keyboard"/>
        <s v="Coffee"/>
        <s v="Tissue"/>
        <s v="Whiteboard Marker"/>
      </sharedItems>
    </cacheField>
    <cacheField name="Category" numFmtId="0">
      <sharedItems count="5">
        <s v="Stationery"/>
        <s v="Office Equipment"/>
        <s v="Computer Accessories"/>
        <s v="Pantry"/>
        <s v="Cleaning Supplies"/>
      </sharedItems>
    </cacheField>
    <cacheField name="Unit" numFmtId="0">
      <sharedItems/>
    </cacheField>
    <cacheField name="Min Stock" numFmtId="0">
      <sharedItems containsSemiMixedTypes="0" containsString="0" containsNumber="1" containsInteger="1" minValue="15" maxValue="200"/>
    </cacheField>
    <cacheField name="Stock In" numFmtId="0">
      <sharedItems containsSemiMixedTypes="0" containsString="0" containsNumber="1" containsInteger="1" minValue="0" maxValue="500"/>
    </cacheField>
    <cacheField name="Stock Out" numFmtId="0">
      <sharedItems containsSemiMixedTypes="0" containsString="0" containsNumber="1" containsInteger="1" minValue="0" maxValue="20"/>
    </cacheField>
    <cacheField name="Current Stock" numFmtId="0">
      <sharedItems containsSemiMixedTypes="0" containsString="0" containsNumber="1" containsInteger="1" minValue="0" maxValue="480"/>
    </cacheField>
    <cacheField name="Unit Cost" numFmtId="164">
      <sharedItems containsSemiMixedTypes="0" containsString="0" containsNumber="1" containsInteger="1" minValue="4500" maxValue="175000"/>
    </cacheField>
    <cacheField name="Inventory Vaue" numFmtId="164">
      <sharedItems containsSemiMixedTypes="0" containsString="0" containsNumber="1" containsInteger="1" minValue="0" maxValue="5225000"/>
    </cacheField>
    <cacheField name="Stock Status" numFmtId="0">
      <sharedItems count="2">
        <s v="In Stock"/>
        <s v="Out of Stoc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ri Wahyuni" refreshedDate="46209.656595717592" createdVersion="4" refreshedVersion="4" minRefreshableVersion="3" recordCount="5">
  <cacheSource type="worksheet">
    <worksheetSource name="tblstockin"/>
  </cacheSource>
  <cacheFields count="9">
    <cacheField name="GRN No" numFmtId="0">
      <sharedItems/>
    </cacheField>
    <cacheField name="Date" numFmtId="15">
      <sharedItems containsSemiMixedTypes="0" containsNonDate="0" containsDate="1" containsString="0" minDate="2026-01-02T00:00:00" maxDate="2026-01-19T00:00:00"/>
    </cacheField>
    <cacheField name="Supplier" numFmtId="0">
      <sharedItems/>
    </cacheField>
    <cacheField name="Item Code" numFmtId="0">
      <sharedItems/>
    </cacheField>
    <cacheField name="Item Name" numFmtId="0">
      <sharedItems/>
    </cacheField>
    <cacheField name="Category" numFmtId="0">
      <sharedItems count="3">
        <s v="Stationery"/>
        <s v="Office Equipment"/>
        <s v="Computer Accessories"/>
      </sharedItems>
    </cacheField>
    <cacheField name="Qty" numFmtId="0">
      <sharedItems containsSemiMixedTypes="0" containsString="0" containsNumber="1" containsInteger="1" minValue="30" maxValue="500"/>
    </cacheField>
    <cacheField name="Unit Cost" numFmtId="3">
      <sharedItems containsSemiMixedTypes="0" containsString="0" containsNumber="1" containsInteger="1" minValue="4500" maxValue="120000"/>
    </cacheField>
    <cacheField name="Total Cost" numFmtId="3">
      <sharedItems containsSemiMixedTypes="0" containsString="0" containsNumber="1" containsInteger="1" minValue="2250000" maxValue="6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ri Wahyuni" refreshedDate="46209.657591319447" createdVersion="4" refreshedVersion="4" minRefreshableVersion="3" recordCount="3">
  <cacheSource type="worksheet">
    <worksheetSource name="tblstockout"/>
  </cacheSource>
  <cacheFields count="9">
    <cacheField name="Issue No" numFmtId="0">
      <sharedItems/>
    </cacheField>
    <cacheField name="Date" numFmtId="0">
      <sharedItems containsSemiMixedTypes="0" containsNonDate="0" containsDate="1" containsString="0" minDate="2026-01-05T00:00:00" maxDate="2026-01-21T00:00:00"/>
    </cacheField>
    <cacheField name="Department" numFmtId="0">
      <sharedItems/>
    </cacheField>
    <cacheField name="Item Code" numFmtId="0">
      <sharedItems/>
    </cacheField>
    <cacheField name="Item" numFmtId="0">
      <sharedItems/>
    </cacheField>
    <cacheField name="Category" numFmtId="0">
      <sharedItems count="2">
        <s v="Stationery"/>
        <s v="Computer Accessories"/>
      </sharedItems>
    </cacheField>
    <cacheField name="Qty" numFmtId="0">
      <sharedItems containsSemiMixedTypes="0" containsString="0" containsNumber="1" containsInteger="1" minValue="2" maxValue="20"/>
    </cacheField>
    <cacheField name="Unit Cost" numFmtId="164">
      <sharedItems containsSemiMixedTypes="0" containsString="0" containsNumber="1" containsInteger="1" minValue="4500" maxValue="120000"/>
    </cacheField>
    <cacheField name="Total Cost" numFmtId="164">
      <sharedItems containsSemiMixedTypes="0" containsString="0" containsNumber="1" containsInteger="1" minValue="90000" maxValue="2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IT001"/>
    <x v="0"/>
    <x v="0"/>
    <s v="Rim"/>
    <n v="50"/>
    <n v="100"/>
    <n v="5"/>
    <n v="95"/>
    <n v="55000"/>
    <n v="5225000"/>
    <x v="0"/>
  </r>
  <r>
    <s v="IT002"/>
    <x v="1"/>
    <x v="0"/>
    <s v="Pcs"/>
    <n v="200"/>
    <n v="500"/>
    <n v="20"/>
    <n v="480"/>
    <n v="4500"/>
    <n v="2160000"/>
    <x v="0"/>
  </r>
  <r>
    <s v="IT003"/>
    <x v="2"/>
    <x v="0"/>
    <s v="Pcs"/>
    <n v="100"/>
    <n v="150"/>
    <n v="2"/>
    <n v="148"/>
    <n v="18000"/>
    <n v="2664000"/>
    <x v="0"/>
  </r>
  <r>
    <s v="IT004"/>
    <x v="3"/>
    <x v="1"/>
    <s v="Box"/>
    <n v="20"/>
    <n v="30"/>
    <n v="0"/>
    <n v="30"/>
    <n v="95000"/>
    <n v="2850000"/>
    <x v="0"/>
  </r>
  <r>
    <s v="IT005"/>
    <x v="4"/>
    <x v="1"/>
    <s v="Pcs"/>
    <n v="15"/>
    <n v="50"/>
    <n v="0"/>
    <n v="50"/>
    <n v="75000"/>
    <n v="3750000"/>
    <x v="0"/>
  </r>
  <r>
    <s v="IT006"/>
    <x v="5"/>
    <x v="2"/>
    <s v="Pcs"/>
    <n v="25"/>
    <n v="0"/>
    <n v="0"/>
    <n v="0"/>
    <n v="120000"/>
    <n v="0"/>
    <x v="1"/>
  </r>
  <r>
    <s v="IT007"/>
    <x v="6"/>
    <x v="2"/>
    <s v="Pcs"/>
    <n v="20"/>
    <n v="0"/>
    <n v="0"/>
    <n v="0"/>
    <n v="175000"/>
    <n v="0"/>
    <x v="1"/>
  </r>
  <r>
    <s v="IT008"/>
    <x v="7"/>
    <x v="3"/>
    <s v="Pack"/>
    <n v="30"/>
    <n v="0"/>
    <n v="0"/>
    <n v="0"/>
    <n v="45000"/>
    <n v="0"/>
    <x v="1"/>
  </r>
  <r>
    <s v="IT009"/>
    <x v="8"/>
    <x v="4"/>
    <s v="Pack"/>
    <n v="40"/>
    <n v="0"/>
    <n v="0"/>
    <n v="0"/>
    <n v="18000"/>
    <n v="0"/>
    <x v="1"/>
  </r>
  <r>
    <s v="IT010"/>
    <x v="9"/>
    <x v="0"/>
    <s v="Box"/>
    <n v="25"/>
    <n v="0"/>
    <n v="0"/>
    <n v="0"/>
    <n v="38000"/>
    <n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s v="GRN001"/>
    <d v="2026-01-02T00:00:00"/>
    <s v="PT Kertas Indonesia"/>
    <s v="IT001"/>
    <s v="A4 Paper"/>
    <x v="0"/>
    <n v="100"/>
    <n v="55000"/>
    <n v="5500000"/>
  </r>
  <r>
    <s v="GRN002"/>
    <d v="2026-01-05T00:00:00"/>
    <s v="PT Pena Nusantara"/>
    <s v="IT002"/>
    <s v="Ballpoint Pen"/>
    <x v="0"/>
    <n v="500"/>
    <n v="4500"/>
    <n v="2250000"/>
  </r>
  <r>
    <s v="GRN003"/>
    <d v="2026-01-10T00:00:00"/>
    <s v="PT Office Supply"/>
    <s v="IT003"/>
    <s v="Notebook A5"/>
    <x v="0"/>
    <n v="150"/>
    <n v="18000"/>
    <n v="2700000"/>
  </r>
  <r>
    <s v="GRN004"/>
    <d v="2026-01-15T00:00:00"/>
    <s v="PT Kertas Indonesia"/>
    <s v="IT004"/>
    <s v="Printer Ink"/>
    <x v="1"/>
    <n v="30"/>
    <n v="95000"/>
    <n v="2850000"/>
  </r>
  <r>
    <s v="GRN005"/>
    <d v="2026-01-18T00:00:00"/>
    <s v="PT Tech Indonesia"/>
    <s v="IT006"/>
    <s v="Mouse Wireless"/>
    <x v="2"/>
    <n v="50"/>
    <n v="120000"/>
    <n v="6000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">
  <r>
    <s v="ISS001"/>
    <d v="2026-01-05T00:00:00"/>
    <s v="Finance"/>
    <s v="IT001"/>
    <s v="A4 Paper"/>
    <x v="0"/>
    <n v="5"/>
    <n v="55000"/>
    <n v="275000"/>
  </r>
  <r>
    <s v="ISS002"/>
    <d v="2026-01-10T00:00:00"/>
    <s v="HR"/>
    <s v="IT002"/>
    <s v="Ballpoint Pen"/>
    <x v="0"/>
    <n v="20"/>
    <n v="4500"/>
    <n v="90000"/>
  </r>
  <r>
    <s v="ISS003"/>
    <d v="2026-01-20T00:00:00"/>
    <s v="IT"/>
    <s v="IT006"/>
    <s v="Mouse Wireless"/>
    <x v="1"/>
    <n v="2"/>
    <n v="120000"/>
    <n v="24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8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G3:H9" firstHeaderRow="1" firstDataRow="1" firstDataCol="1"/>
  <pivotFields count="11">
    <pivotField showAll="0"/>
    <pivotField axis="axisRow" showAll="0" measureFilter="1" sortType="descending">
      <items count="11">
        <item x="0"/>
        <item x="1"/>
        <item x="7"/>
        <item x="6"/>
        <item x="5"/>
        <item x="2"/>
        <item x="3"/>
        <item x="4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/>
  </pivotFields>
  <rowFields count="1">
    <field x="1"/>
  </rowFields>
  <rowItems count="6">
    <i>
      <x/>
    </i>
    <i>
      <x v="7"/>
    </i>
    <i>
      <x v="6"/>
    </i>
    <i>
      <x v="5"/>
    </i>
    <i>
      <x v="1"/>
    </i>
    <i t="grand">
      <x/>
    </i>
  </rowItems>
  <colItems count="1">
    <i/>
  </colItems>
  <dataFields count="1">
    <dataField name="Sum of Inventory Vaue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1:B15" firstHeaderRow="1" firstDataRow="1" firstDataCol="1"/>
  <pivotFields count="9">
    <pivotField showAll="0"/>
    <pivotField numFmtId="15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numFmtId="3" showAll="0"/>
    <pivotField numFmtId="3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B9" firstHeaderRow="1" firstDataRow="1" firstDataCol="1"/>
  <pivotFields count="11"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Inventory Vaue" fld="9" baseField="0" baseItem="0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7:B20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numFmtId="164" showAll="0"/>
    <pivotField numFmtId="164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Q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8" name="Table8" displayName="Table8" ref="A22:C25" totalsRowShown="0">
  <autoFilter ref="A22:C25"/>
  <tableColumns count="3">
    <tableColumn id="1" name="Category" dataDxfId="17"/>
    <tableColumn id="2" name="Stock In"/>
    <tableColumn id="3" name="Stock Out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5" name="tbldepart" displayName="tbldepart" ref="A1:A8" totalsRowShown="0">
  <autoFilter ref="A1:A8"/>
  <tableColumns count="1">
    <tableColumn id="1" name="Department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id="1" name="tblCategory" displayName="tblCategory" ref="A1:B6" totalsRowShown="0">
  <autoFilter ref="A1:B6"/>
  <tableColumns count="2">
    <tableColumn id="1" name="Category Code"/>
    <tableColumn id="2" name="Category Name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id="2" name="tblItem" displayName="tblItem" ref="A1:F11" totalsRowShown="0">
  <autoFilter ref="A1:F11"/>
  <tableColumns count="6">
    <tableColumn id="1" name="Item Code"/>
    <tableColumn id="2" name="Item Name"/>
    <tableColumn id="3" name="Category"/>
    <tableColumn id="4" name="Unit"/>
    <tableColumn id="5" name="Minimum Stock"/>
    <tableColumn id="6" name="Standard Cost" dataDxfId="16" dataCellStyle="Comma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id="3" name="tblstockin" displayName="tblstockin" ref="A2:I7" totalsRowShown="0">
  <autoFilter ref="A2:I7"/>
  <tableColumns count="9">
    <tableColumn id="1" name="GRN No"/>
    <tableColumn id="2" name="Date" dataDxfId="15"/>
    <tableColumn id="3" name="Supplier"/>
    <tableColumn id="4" name="Item Code"/>
    <tableColumn id="5" name="Item Name">
      <calculatedColumnFormula>VLOOKUP(tblstockin[[#This Row],[Item Code]],tblItem[[#All],[Item Code]:[Item Name]],2,0)</calculatedColumnFormula>
    </tableColumn>
    <tableColumn id="6" name="Category">
      <calculatedColumnFormula>VLOOKUP(tblstockin[[#This Row],[Item Code]],tblItem[[#All],[Item Code]:[Category]],3,0)</calculatedColumnFormula>
    </tableColumn>
    <tableColumn id="7" name="Qty"/>
    <tableColumn id="8" name="Unit Cost" dataDxfId="14">
      <calculatedColumnFormula>VLOOKUP(tblstockin[[#This Row],[Item Code]],tblItem[#All],6,0)</calculatedColumnFormula>
    </tableColumn>
    <tableColumn id="9" name="Total Cost" dataDxfId="13">
      <calculatedColumnFormula>tblstockin[[#This Row],[Unit Cost]]*tblstockin[[#This Row],[Qty]]</calculatedColumnFormula>
    </tableColumn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4" name="tblstockout" displayName="tblstockout" ref="A2:I5" totalsRowShown="0" headerRowDxfId="12">
  <autoFilter ref="A2:I5"/>
  <tableColumns count="9">
    <tableColumn id="1" name="Issue No"/>
    <tableColumn id="5" name="Date"/>
    <tableColumn id="2" name="Department"/>
    <tableColumn id="6" name="Item Code"/>
    <tableColumn id="3" name="Item">
      <calculatedColumnFormula>VLOOKUP(tblstockout[[#This Row],[Item Code]],tblItem[[#All],[Item Code]:[Item Name]],2,0)</calculatedColumnFormula>
    </tableColumn>
    <tableColumn id="7" name="Category" dataDxfId="11">
      <calculatedColumnFormula>VLOOKUP(tblstockout[[#This Row],[Item Code]],tblItem[[#All],[Item Code]:[Category]],3,0)</calculatedColumnFormula>
    </tableColumn>
    <tableColumn id="4" name="Qty"/>
    <tableColumn id="8" name="Unit Cost" dataDxfId="10" dataCellStyle="Comma">
      <calculatedColumnFormula>VLOOKUP(tblstockout[[#This Row],[Item Code]],tblItem[],6,0)</calculatedColumnFormula>
    </tableColumn>
    <tableColumn id="9" name="Total Cost" dataDxfId="9" dataCellStyle="Comma">
      <calculatedColumnFormula>tblstockout[[#This Row],[Unit Cost]]*tblstockout[[#This Row],[Qty]]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id="6" name="tbladjust" displayName="tbladjust" ref="A2:E4" totalsRowShown="0" headerRowDxfId="8">
  <autoFilter ref="A2:E4"/>
  <tableColumns count="5">
    <tableColumn id="1" name="Adjustment No"/>
    <tableColumn id="2" name="Date" dataDxfId="7"/>
    <tableColumn id="3" name="Item"/>
    <tableColumn id="4" name="Qty (+/-)"/>
    <tableColumn id="5" name="Reason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id="7" name="tblinvreport" displayName="tblinvreport" ref="A4:K14" totalsRowShown="0" headerRowDxfId="3">
  <autoFilter ref="A4:K14"/>
  <tableColumns count="11">
    <tableColumn id="1" name="Item Code"/>
    <tableColumn id="2" name="Item Name">
      <calculatedColumnFormula>VLOOKUP(tblinvreport[Item Code],tblItem[[#All],[Item Code]:[Item Name]],2,0)</calculatedColumnFormula>
    </tableColumn>
    <tableColumn id="3" name="Category">
      <calculatedColumnFormula>VLOOKUP(tblinvreport[Item Code],tblItem[[#All],[Item Code]:[Category]],3,)</calculatedColumnFormula>
    </tableColumn>
    <tableColumn id="4" name="Unit">
      <calculatedColumnFormula>VLOOKUP(tblinvreport[Item Code],tblItem[[#All],[Item Code]:[Unit]],4,0)</calculatedColumnFormula>
    </tableColumn>
    <tableColumn id="5" name="Min Stock">
      <calculatedColumnFormula>VLOOKUP(tblinvreport[Item Code],tblItem[[#All],[Item Code]:[Minimum Stock]],5,0)</calculatedColumnFormula>
    </tableColumn>
    <tableColumn id="6" name="Stock In">
      <calculatedColumnFormula>SUMIFS(tblstockin[Qty],tblstockin[Item Code],tblstockin[[#This Row],[Item Code]])</calculatedColumnFormula>
    </tableColumn>
    <tableColumn id="7" name="Stock Out">
      <calculatedColumnFormula>SUMIFS(tblstockout[Qty],tblstockout[Item Code],tblstockout[[#This Row],[Item Code]])</calculatedColumnFormula>
    </tableColumn>
    <tableColumn id="8" name="Current Stock" dataDxfId="2">
      <calculatedColumnFormula>tblinvreport[Stock In]-tblinvreport[Stock Out]</calculatedColumnFormula>
    </tableColumn>
    <tableColumn id="9" name="Unit Cost" dataDxfId="1" dataCellStyle="Comma">
      <calculatedColumnFormula>VLOOKUP(tblinvreport[Item Code],tblItem[#All],6,0)</calculatedColumnFormula>
    </tableColumn>
    <tableColumn id="10" name="Inventory Vaue" dataDxfId="0" dataCellStyle="Comma">
      <calculatedColumnFormula>tblinvreport[Current Stock]*tblinvreport[Unit Cost]</calculatedColumnFormula>
    </tableColumn>
    <tableColumn id="11" name="Stock Status">
      <calculatedColumnFormula>IF(tblinvreport[Current Stock]=0,"Out of Stock",IF(tblinvreport[Current Stock]&lt;=tblinvreport[Min Stock],"Low Stock","In Stock"))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showGridLines="0" workbookViewId="0">
      <selection sqref="A1:K25"/>
    </sheetView>
  </sheetViews>
  <sheetFormatPr defaultRowHeight="15" x14ac:dyDescent="0.25"/>
  <cols>
    <col min="1" max="1" width="4.5703125" customWidth="1"/>
  </cols>
  <sheetData>
    <row r="1" spans="1:11" ht="23.25" x14ac:dyDescent="0.35">
      <c r="A1" s="20" t="s">
        <v>118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5" t="s">
        <v>89</v>
      </c>
    </row>
    <row r="3" spans="1:11" ht="21" x14ac:dyDescent="0.35">
      <c r="A3" s="16" t="s">
        <v>85</v>
      </c>
    </row>
    <row r="5" spans="1:11" ht="18.75" x14ac:dyDescent="0.3">
      <c r="A5" s="17" t="s">
        <v>107</v>
      </c>
    </row>
    <row r="6" spans="1:11" ht="15" customHeight="1" x14ac:dyDescent="0.25">
      <c r="A6" s="21" t="s">
        <v>119</v>
      </c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1:1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</row>
    <row r="10" spans="1:11" ht="18.75" x14ac:dyDescent="0.3">
      <c r="A10" s="17" t="s">
        <v>108</v>
      </c>
    </row>
    <row r="11" spans="1:11" x14ac:dyDescent="0.25">
      <c r="A11" t="s">
        <v>120</v>
      </c>
    </row>
    <row r="12" spans="1:11" x14ac:dyDescent="0.25">
      <c r="A12" t="s">
        <v>121</v>
      </c>
    </row>
    <row r="13" spans="1:11" x14ac:dyDescent="0.25">
      <c r="A13" t="s">
        <v>122</v>
      </c>
    </row>
    <row r="14" spans="1:11" x14ac:dyDescent="0.25">
      <c r="A14" t="s">
        <v>123</v>
      </c>
    </row>
    <row r="15" spans="1:11" x14ac:dyDescent="0.25">
      <c r="A15" t="s">
        <v>124</v>
      </c>
    </row>
    <row r="16" spans="1:11" x14ac:dyDescent="0.25">
      <c r="A16" t="s">
        <v>109</v>
      </c>
    </row>
    <row r="18" spans="1:2" ht="18.75" x14ac:dyDescent="0.3">
      <c r="A18" s="17" t="s">
        <v>110</v>
      </c>
    </row>
    <row r="19" spans="1:2" x14ac:dyDescent="0.25">
      <c r="A19" s="19" t="s">
        <v>111</v>
      </c>
      <c r="B19" t="s">
        <v>112</v>
      </c>
    </row>
    <row r="20" spans="1:2" x14ac:dyDescent="0.25">
      <c r="A20" s="19" t="s">
        <v>111</v>
      </c>
      <c r="B20" t="s">
        <v>113</v>
      </c>
    </row>
    <row r="21" spans="1:2" x14ac:dyDescent="0.25">
      <c r="A21" s="19" t="s">
        <v>111</v>
      </c>
      <c r="B21" t="s">
        <v>115</v>
      </c>
    </row>
    <row r="22" spans="1:2" x14ac:dyDescent="0.25">
      <c r="A22" s="19" t="s">
        <v>111</v>
      </c>
      <c r="B22" t="s">
        <v>114</v>
      </c>
    </row>
    <row r="23" spans="1:2" x14ac:dyDescent="0.25">
      <c r="A23" s="19" t="s">
        <v>111</v>
      </c>
      <c r="B23" t="s">
        <v>125</v>
      </c>
    </row>
    <row r="24" spans="1:2" x14ac:dyDescent="0.25">
      <c r="A24" s="19" t="s">
        <v>111</v>
      </c>
      <c r="B24" t="s">
        <v>116</v>
      </c>
    </row>
    <row r="25" spans="1:2" x14ac:dyDescent="0.25">
      <c r="A25" s="19" t="s">
        <v>111</v>
      </c>
      <c r="B25" t="s">
        <v>117</v>
      </c>
    </row>
  </sheetData>
  <mergeCells count="2">
    <mergeCell ref="A1:K1"/>
    <mergeCell ref="A6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showGridLines="0" tabSelected="1" workbookViewId="0">
      <selection activeCell="K35" sqref="K35"/>
    </sheetView>
  </sheetViews>
  <sheetFormatPr defaultRowHeight="15" x14ac:dyDescent="0.25"/>
  <cols>
    <col min="6" max="6" width="12.85546875" customWidth="1"/>
    <col min="8" max="8" width="13.140625" customWidth="1"/>
    <col min="16" max="16" width="15.85546875" bestFit="1" customWidth="1"/>
    <col min="17" max="17" width="27" bestFit="1" customWidth="1"/>
  </cols>
  <sheetData>
    <row r="1" spans="1:17" ht="23.25" x14ac:dyDescent="0.25">
      <c r="A1" s="34" t="s">
        <v>85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P1" s="26" t="s">
        <v>88</v>
      </c>
      <c r="Q1" s="27"/>
    </row>
    <row r="2" spans="1:17" ht="18.75" x14ac:dyDescent="0.25">
      <c r="A2" s="35" t="s">
        <v>100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P2" s="10" t="s">
        <v>89</v>
      </c>
      <c r="Q2" s="10" t="s">
        <v>85</v>
      </c>
    </row>
    <row r="3" spans="1:17" x14ac:dyDescent="0.25">
      <c r="A3" s="29" t="s">
        <v>86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P3" s="10" t="s">
        <v>90</v>
      </c>
      <c r="Q3" s="11">
        <v>46023</v>
      </c>
    </row>
    <row r="4" spans="1:17" ht="12" customHeight="1" x14ac:dyDescent="0.25">
      <c r="A4" s="9"/>
      <c r="B4" s="9"/>
      <c r="C4" s="9"/>
      <c r="D4" s="9"/>
      <c r="E4" s="9"/>
      <c r="F4" s="9"/>
      <c r="G4" s="9"/>
      <c r="H4" s="9"/>
      <c r="P4" s="12" t="s">
        <v>91</v>
      </c>
      <c r="Q4" s="12" t="s">
        <v>92</v>
      </c>
    </row>
    <row r="5" spans="1:17" x14ac:dyDescent="0.25">
      <c r="C5" s="28" t="s">
        <v>87</v>
      </c>
      <c r="D5" s="28"/>
      <c r="E5" s="28" t="s">
        <v>80</v>
      </c>
      <c r="F5" s="31"/>
      <c r="G5" s="32" t="s">
        <v>97</v>
      </c>
      <c r="H5" s="33"/>
      <c r="I5" s="28" t="s">
        <v>98</v>
      </c>
      <c r="J5" s="29"/>
      <c r="K5" s="28" t="s">
        <v>99</v>
      </c>
      <c r="L5" s="29"/>
      <c r="P5" s="10" t="s">
        <v>93</v>
      </c>
      <c r="Q5" s="10" t="s">
        <v>94</v>
      </c>
    </row>
    <row r="6" spans="1:17" x14ac:dyDescent="0.25">
      <c r="C6" s="28"/>
      <c r="D6" s="28"/>
      <c r="E6" s="31"/>
      <c r="F6" s="31"/>
      <c r="G6" s="33"/>
      <c r="H6" s="33"/>
      <c r="I6" s="29"/>
      <c r="J6" s="29"/>
      <c r="K6" s="29"/>
      <c r="L6" s="29"/>
      <c r="P6" s="10" t="s">
        <v>95</v>
      </c>
      <c r="Q6" s="10" t="s">
        <v>96</v>
      </c>
    </row>
    <row r="7" spans="1:17" x14ac:dyDescent="0.25">
      <c r="C7" s="28"/>
      <c r="D7" s="28"/>
      <c r="E7" s="31"/>
      <c r="F7" s="31"/>
      <c r="G7" s="33"/>
      <c r="H7" s="33"/>
      <c r="I7" s="29"/>
      <c r="J7" s="29"/>
      <c r="K7" s="29"/>
      <c r="L7" s="29"/>
    </row>
    <row r="8" spans="1:17" x14ac:dyDescent="0.25">
      <c r="C8" s="22">
        <f>COUNTA('Inventory Report'!A5:A14)</f>
        <v>10</v>
      </c>
      <c r="D8" s="22"/>
      <c r="E8" s="23">
        <f>SUM('Inventory Report'!H5:H14)</f>
        <v>228</v>
      </c>
      <c r="F8" s="23"/>
      <c r="G8" s="24">
        <f>SUM('Inventory Report'!J5:J14)</f>
        <v>9175000</v>
      </c>
      <c r="H8" s="24"/>
      <c r="I8" s="25">
        <f>COUNTIF(('Inventory Report'!K5:K14),"Low Stock")</f>
        <v>2</v>
      </c>
      <c r="J8" s="25"/>
      <c r="K8" s="30">
        <f>COUNTIF('Inventory Report'!K5:K14,"Out of Stock")</f>
        <v>7</v>
      </c>
      <c r="L8" s="30"/>
    </row>
    <row r="41" spans="2:2" ht="15.75" x14ac:dyDescent="0.25">
      <c r="B41" s="38" t="s">
        <v>126</v>
      </c>
    </row>
    <row r="42" spans="2:2" x14ac:dyDescent="0.25">
      <c r="B42" s="39" t="s">
        <v>127</v>
      </c>
    </row>
    <row r="43" spans="2:2" x14ac:dyDescent="0.25">
      <c r="B43" s="40" t="s">
        <v>128</v>
      </c>
    </row>
    <row r="44" spans="2:2" x14ac:dyDescent="0.25">
      <c r="B44" s="41" t="s">
        <v>96</v>
      </c>
    </row>
  </sheetData>
  <mergeCells count="14">
    <mergeCell ref="C8:D8"/>
    <mergeCell ref="E8:F8"/>
    <mergeCell ref="G8:H8"/>
    <mergeCell ref="I8:J8"/>
    <mergeCell ref="P1:Q1"/>
    <mergeCell ref="K5:L7"/>
    <mergeCell ref="K8:L8"/>
    <mergeCell ref="C5:D7"/>
    <mergeCell ref="E5:F7"/>
    <mergeCell ref="G5:H7"/>
    <mergeCell ref="I5:J7"/>
    <mergeCell ref="A1:N1"/>
    <mergeCell ref="A2:N2"/>
    <mergeCell ref="A3:N3"/>
  </mergeCells>
  <conditionalFormatting sqref="I8:L8">
    <cfRule type="cellIs" dxfId="19" priority="2" operator="lessThan">
      <formula>0</formula>
    </cfRule>
  </conditionalFormatting>
  <conditionalFormatting sqref="E8:F8">
    <cfRule type="cellIs" dxfId="18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5"/>
  <sheetViews>
    <sheetView workbookViewId="0">
      <selection activeCell="I14" sqref="I14"/>
    </sheetView>
  </sheetViews>
  <sheetFormatPr defaultRowHeight="15" x14ac:dyDescent="0.25"/>
  <cols>
    <col min="1" max="1" width="20.85546875" bestFit="1" customWidth="1"/>
    <col min="2" max="2" width="10.7109375" customWidth="1"/>
    <col min="3" max="3" width="11.5703125" customWidth="1"/>
    <col min="4" max="4" width="11.7109375" customWidth="1"/>
    <col min="5" max="5" width="18.42578125" customWidth="1"/>
    <col min="7" max="7" width="13.140625" customWidth="1"/>
    <col min="8" max="8" width="21.5703125" bestFit="1" customWidth="1"/>
  </cols>
  <sheetData>
    <row r="3" spans="1:8" x14ac:dyDescent="0.25">
      <c r="A3" s="7" t="s">
        <v>83</v>
      </c>
      <c r="B3" t="s">
        <v>101</v>
      </c>
      <c r="G3" s="7" t="s">
        <v>83</v>
      </c>
      <c r="H3" t="s">
        <v>101</v>
      </c>
    </row>
    <row r="4" spans="1:8" x14ac:dyDescent="0.25">
      <c r="A4" s="8" t="s">
        <v>11</v>
      </c>
      <c r="B4" s="13">
        <v>0</v>
      </c>
      <c r="D4" s="8"/>
      <c r="E4" s="13"/>
      <c r="G4" s="8" t="s">
        <v>19</v>
      </c>
      <c r="H4" s="13">
        <v>5225000</v>
      </c>
    </row>
    <row r="5" spans="1:8" x14ac:dyDescent="0.25">
      <c r="A5" s="8" t="s">
        <v>7</v>
      </c>
      <c r="B5" s="13">
        <v>0</v>
      </c>
      <c r="D5" s="8"/>
      <c r="E5" s="13"/>
      <c r="G5" s="8" t="s">
        <v>30</v>
      </c>
      <c r="H5" s="13">
        <v>3750000</v>
      </c>
    </row>
    <row r="6" spans="1:8" x14ac:dyDescent="0.25">
      <c r="A6" s="8" t="s">
        <v>5</v>
      </c>
      <c r="B6" s="13">
        <v>6600000</v>
      </c>
      <c r="D6" s="8"/>
      <c r="E6" s="13"/>
      <c r="G6" s="8" t="s">
        <v>27</v>
      </c>
      <c r="H6" s="13">
        <v>2850000</v>
      </c>
    </row>
    <row r="7" spans="1:8" x14ac:dyDescent="0.25">
      <c r="A7" s="8" t="s">
        <v>9</v>
      </c>
      <c r="B7" s="13">
        <v>0</v>
      </c>
      <c r="G7" s="8" t="s">
        <v>25</v>
      </c>
      <c r="H7" s="13">
        <v>2664000</v>
      </c>
    </row>
    <row r="8" spans="1:8" x14ac:dyDescent="0.25">
      <c r="A8" s="8" t="s">
        <v>3</v>
      </c>
      <c r="B8" s="13">
        <v>10049000</v>
      </c>
      <c r="G8" s="8" t="s">
        <v>22</v>
      </c>
      <c r="H8" s="13">
        <v>2160000</v>
      </c>
    </row>
    <row r="9" spans="1:8" x14ac:dyDescent="0.25">
      <c r="A9" s="8" t="s">
        <v>84</v>
      </c>
      <c r="B9" s="13">
        <v>16649000</v>
      </c>
      <c r="G9" s="8" t="s">
        <v>84</v>
      </c>
      <c r="H9" s="13">
        <v>16649000</v>
      </c>
    </row>
    <row r="11" spans="1:8" x14ac:dyDescent="0.25">
      <c r="A11" s="7" t="s">
        <v>83</v>
      </c>
      <c r="B11" t="s">
        <v>102</v>
      </c>
      <c r="C11" t="s">
        <v>78</v>
      </c>
      <c r="D11" s="8"/>
      <c r="E11" s="13"/>
    </row>
    <row r="12" spans="1:8" x14ac:dyDescent="0.25">
      <c r="A12" s="8" t="s">
        <v>7</v>
      </c>
      <c r="B12" s="13">
        <v>50</v>
      </c>
      <c r="D12" s="8"/>
      <c r="E12" s="13"/>
    </row>
    <row r="13" spans="1:8" x14ac:dyDescent="0.25">
      <c r="A13" s="8" t="s">
        <v>5</v>
      </c>
      <c r="B13" s="13">
        <v>30</v>
      </c>
      <c r="D13" s="8"/>
      <c r="E13" s="13"/>
    </row>
    <row r="14" spans="1:8" x14ac:dyDescent="0.25">
      <c r="A14" s="8" t="s">
        <v>3</v>
      </c>
      <c r="B14" s="13">
        <v>750</v>
      </c>
      <c r="D14" s="8"/>
      <c r="E14" s="13"/>
    </row>
    <row r="15" spans="1:8" x14ac:dyDescent="0.25">
      <c r="A15" s="8" t="s">
        <v>84</v>
      </c>
      <c r="B15" s="13">
        <v>830</v>
      </c>
      <c r="D15" s="8"/>
      <c r="E15" s="13"/>
    </row>
    <row r="16" spans="1:8" x14ac:dyDescent="0.25">
      <c r="D16" s="8"/>
      <c r="E16" s="13"/>
    </row>
    <row r="17" spans="1:5" x14ac:dyDescent="0.25">
      <c r="A17" s="7" t="s">
        <v>83</v>
      </c>
      <c r="B17" t="s">
        <v>102</v>
      </c>
      <c r="C17" t="s">
        <v>79</v>
      </c>
      <c r="D17" s="8"/>
      <c r="E17" s="13"/>
    </row>
    <row r="18" spans="1:5" x14ac:dyDescent="0.25">
      <c r="A18" s="8" t="s">
        <v>7</v>
      </c>
      <c r="B18" s="13">
        <v>2</v>
      </c>
      <c r="D18" s="8"/>
      <c r="E18" s="13"/>
    </row>
    <row r="19" spans="1:5" x14ac:dyDescent="0.25">
      <c r="A19" s="8" t="s">
        <v>3</v>
      </c>
      <c r="B19" s="13">
        <v>25</v>
      </c>
      <c r="D19" s="8"/>
      <c r="E19" s="13"/>
    </row>
    <row r="20" spans="1:5" x14ac:dyDescent="0.25">
      <c r="A20" s="8" t="s">
        <v>84</v>
      </c>
      <c r="B20" s="13">
        <v>27</v>
      </c>
      <c r="D20" s="8"/>
      <c r="E20" s="13"/>
    </row>
    <row r="21" spans="1:5" x14ac:dyDescent="0.25">
      <c r="D21" s="8"/>
      <c r="E21" s="13"/>
    </row>
    <row r="22" spans="1:5" x14ac:dyDescent="0.25">
      <c r="A22" s="8" t="s">
        <v>14</v>
      </c>
      <c r="B22" t="s">
        <v>78</v>
      </c>
      <c r="C22" t="s">
        <v>79</v>
      </c>
    </row>
    <row r="23" spans="1:5" x14ac:dyDescent="0.25">
      <c r="A23" s="8" t="s">
        <v>7</v>
      </c>
      <c r="B23">
        <f>GETPIVOTDATA("Qty",$A$11,"Category","Computer Accessories")</f>
        <v>50</v>
      </c>
      <c r="C23">
        <f>GETPIVOTDATA("Qty",$A$17,"Category","Computer Accessories")</f>
        <v>2</v>
      </c>
    </row>
    <row r="24" spans="1:5" x14ac:dyDescent="0.25">
      <c r="A24" s="8" t="s">
        <v>5</v>
      </c>
      <c r="B24">
        <f>GETPIVOTDATA("Qty",$A$11,"Category","Office Equipment")</f>
        <v>30</v>
      </c>
    </row>
    <row r="25" spans="1:5" x14ac:dyDescent="0.25">
      <c r="A25" s="8" t="s">
        <v>3</v>
      </c>
      <c r="B25">
        <f>GETPIVOTDATA("Qty",$A$11,"Category","Stationery")</f>
        <v>750</v>
      </c>
      <c r="C25">
        <f>GETPIVOTDATA("Qty",$A$17,"Category","Stationery")</f>
        <v>25</v>
      </c>
    </row>
  </sheetData>
  <pageMargins left="0.7" right="0.7" top="0.75" bottom="0.75" header="0.3" footer="0.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 x14ac:dyDescent="0.25"/>
  <cols>
    <col min="1" max="1" width="18.140625" customWidth="1"/>
  </cols>
  <sheetData>
    <row r="1" spans="1:1" x14ac:dyDescent="0.25">
      <c r="A1" t="s">
        <v>58</v>
      </c>
    </row>
    <row r="2" spans="1:1" x14ac:dyDescent="0.25">
      <c r="A2" t="s">
        <v>66</v>
      </c>
    </row>
    <row r="3" spans="1:1" x14ac:dyDescent="0.25">
      <c r="A3" t="s">
        <v>61</v>
      </c>
    </row>
    <row r="4" spans="1:1" x14ac:dyDescent="0.25">
      <c r="A4" t="s">
        <v>63</v>
      </c>
    </row>
    <row r="5" spans="1:1" x14ac:dyDescent="0.25">
      <c r="A5" t="s">
        <v>65</v>
      </c>
    </row>
    <row r="6" spans="1:1" x14ac:dyDescent="0.25">
      <c r="A6" t="s">
        <v>67</v>
      </c>
    </row>
    <row r="7" spans="1:1" x14ac:dyDescent="0.25">
      <c r="A7" t="s">
        <v>68</v>
      </c>
    </row>
    <row r="8" spans="1:1" x14ac:dyDescent="0.25">
      <c r="A8" t="s">
        <v>69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9" sqref="C9"/>
    </sheetView>
  </sheetViews>
  <sheetFormatPr defaultRowHeight="15" x14ac:dyDescent="0.25"/>
  <cols>
    <col min="1" max="1" width="16" customWidth="1"/>
    <col min="2" max="2" width="20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25" sqref="B25"/>
    </sheetView>
  </sheetViews>
  <sheetFormatPr defaultRowHeight="15" x14ac:dyDescent="0.25"/>
  <cols>
    <col min="1" max="1" width="12.28515625" customWidth="1"/>
    <col min="2" max="2" width="18.5703125" bestFit="1" customWidth="1"/>
    <col min="3" max="3" width="20.85546875" bestFit="1" customWidth="1"/>
    <col min="5" max="5" width="16.85546875" customWidth="1"/>
    <col min="6" max="6" width="15.5703125" bestFit="1" customWidth="1"/>
  </cols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18</v>
      </c>
      <c r="B2" t="s">
        <v>19</v>
      </c>
      <c r="C2" t="s">
        <v>3</v>
      </c>
      <c r="D2" t="s">
        <v>20</v>
      </c>
      <c r="E2">
        <v>50</v>
      </c>
      <c r="F2" s="1">
        <v>55000</v>
      </c>
    </row>
    <row r="3" spans="1:6" x14ac:dyDescent="0.25">
      <c r="A3" t="s">
        <v>21</v>
      </c>
      <c r="B3" t="s">
        <v>22</v>
      </c>
      <c r="C3" t="s">
        <v>3</v>
      </c>
      <c r="D3" t="s">
        <v>23</v>
      </c>
      <c r="E3">
        <v>200</v>
      </c>
      <c r="F3" s="1">
        <v>4500</v>
      </c>
    </row>
    <row r="4" spans="1:6" x14ac:dyDescent="0.25">
      <c r="A4" t="s">
        <v>24</v>
      </c>
      <c r="B4" t="s">
        <v>25</v>
      </c>
      <c r="C4" t="s">
        <v>3</v>
      </c>
      <c r="D4" t="s">
        <v>23</v>
      </c>
      <c r="E4">
        <v>100</v>
      </c>
      <c r="F4" s="1">
        <v>18000</v>
      </c>
    </row>
    <row r="5" spans="1:6" x14ac:dyDescent="0.25">
      <c r="A5" t="s">
        <v>26</v>
      </c>
      <c r="B5" t="s">
        <v>27</v>
      </c>
      <c r="C5" t="s">
        <v>5</v>
      </c>
      <c r="D5" t="s">
        <v>28</v>
      </c>
      <c r="E5">
        <v>20</v>
      </c>
      <c r="F5" s="1">
        <v>95000</v>
      </c>
    </row>
    <row r="6" spans="1:6" x14ac:dyDescent="0.25">
      <c r="A6" t="s">
        <v>29</v>
      </c>
      <c r="B6" t="s">
        <v>30</v>
      </c>
      <c r="C6" t="s">
        <v>5</v>
      </c>
      <c r="D6" t="s">
        <v>23</v>
      </c>
      <c r="E6">
        <v>15</v>
      </c>
      <c r="F6" s="1">
        <v>75000</v>
      </c>
    </row>
    <row r="7" spans="1:6" x14ac:dyDescent="0.25">
      <c r="A7" t="s">
        <v>31</v>
      </c>
      <c r="B7" t="s">
        <v>32</v>
      </c>
      <c r="C7" t="s">
        <v>7</v>
      </c>
      <c r="D7" t="s">
        <v>23</v>
      </c>
      <c r="E7">
        <v>25</v>
      </c>
      <c r="F7" s="1">
        <v>120000</v>
      </c>
    </row>
    <row r="8" spans="1:6" x14ac:dyDescent="0.25">
      <c r="A8" t="s">
        <v>33</v>
      </c>
      <c r="B8" t="s">
        <v>34</v>
      </c>
      <c r="C8" t="s">
        <v>7</v>
      </c>
      <c r="D8" t="s">
        <v>23</v>
      </c>
      <c r="E8">
        <v>20</v>
      </c>
      <c r="F8" s="1">
        <v>175000</v>
      </c>
    </row>
    <row r="9" spans="1:6" x14ac:dyDescent="0.25">
      <c r="A9" t="s">
        <v>35</v>
      </c>
      <c r="B9" t="s">
        <v>36</v>
      </c>
      <c r="C9" t="s">
        <v>9</v>
      </c>
      <c r="D9" t="s">
        <v>37</v>
      </c>
      <c r="E9">
        <v>30</v>
      </c>
      <c r="F9" s="1">
        <v>45000</v>
      </c>
    </row>
    <row r="10" spans="1:6" x14ac:dyDescent="0.25">
      <c r="A10" t="s">
        <v>38</v>
      </c>
      <c r="B10" t="s">
        <v>39</v>
      </c>
      <c r="C10" t="s">
        <v>11</v>
      </c>
      <c r="D10" t="s">
        <v>37</v>
      </c>
      <c r="E10">
        <v>40</v>
      </c>
      <c r="F10" s="1">
        <v>18000</v>
      </c>
    </row>
    <row r="11" spans="1:6" x14ac:dyDescent="0.25">
      <c r="A11" t="s">
        <v>40</v>
      </c>
      <c r="B11" t="s">
        <v>41</v>
      </c>
      <c r="C11" t="s">
        <v>3</v>
      </c>
      <c r="D11" t="s">
        <v>28</v>
      </c>
      <c r="E11">
        <v>25</v>
      </c>
      <c r="F11" s="1">
        <v>38000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C13" sqref="C13"/>
    </sheetView>
  </sheetViews>
  <sheetFormatPr defaultRowHeight="15" x14ac:dyDescent="0.25"/>
  <cols>
    <col min="1" max="1" width="10" customWidth="1"/>
    <col min="3" max="3" width="18.5703125" bestFit="1" customWidth="1"/>
    <col min="4" max="4" width="12.28515625" customWidth="1"/>
    <col min="5" max="5" width="15.28515625" bestFit="1" customWidth="1"/>
    <col min="6" max="6" width="20.85546875" bestFit="1" customWidth="1"/>
    <col min="8" max="8" width="11.140625" customWidth="1"/>
    <col min="9" max="9" width="11.85546875" customWidth="1"/>
  </cols>
  <sheetData>
    <row r="1" spans="1:9" ht="23.25" x14ac:dyDescent="0.35">
      <c r="A1" s="36" t="s">
        <v>78</v>
      </c>
      <c r="B1" s="36"/>
      <c r="C1" s="36"/>
      <c r="D1" s="36"/>
      <c r="E1" s="36"/>
      <c r="F1" s="36"/>
      <c r="G1" s="36"/>
      <c r="H1" s="36"/>
      <c r="I1" s="36"/>
    </row>
    <row r="2" spans="1:9" x14ac:dyDescent="0.25">
      <c r="A2" t="s">
        <v>42</v>
      </c>
      <c r="B2" t="s">
        <v>43</v>
      </c>
      <c r="C2" t="s">
        <v>44</v>
      </c>
      <c r="D2" t="s">
        <v>12</v>
      </c>
      <c r="E2" t="s">
        <v>13</v>
      </c>
      <c r="F2" t="s">
        <v>14</v>
      </c>
      <c r="G2" t="s">
        <v>45</v>
      </c>
      <c r="H2" t="s">
        <v>46</v>
      </c>
      <c r="I2" t="s">
        <v>47</v>
      </c>
    </row>
    <row r="3" spans="1:9" x14ac:dyDescent="0.25">
      <c r="A3" t="s">
        <v>48</v>
      </c>
      <c r="B3" s="2">
        <v>46024</v>
      </c>
      <c r="C3" t="s">
        <v>49</v>
      </c>
      <c r="D3" t="s">
        <v>18</v>
      </c>
      <c r="E3" t="str">
        <f>VLOOKUP(tblstockin[[#This Row],[Item Code]],tblItem[[#All],[Item Code]:[Item Name]],2,0)</f>
        <v>A4 Paper</v>
      </c>
      <c r="F3" t="str">
        <f>VLOOKUP(tblstockin[[#This Row],[Item Code]],tblItem[[#All],[Item Code]:[Category]],3,0)</f>
        <v>Stationery</v>
      </c>
      <c r="G3">
        <v>100</v>
      </c>
      <c r="H3" s="3">
        <f>VLOOKUP(tblstockin[[#This Row],[Item Code]],tblItem[#All],6,0)</f>
        <v>55000</v>
      </c>
      <c r="I3" s="3">
        <f>tblstockin[[#This Row],[Unit Cost]]*tblstockin[[#This Row],[Qty]]</f>
        <v>5500000</v>
      </c>
    </row>
    <row r="4" spans="1:9" x14ac:dyDescent="0.25">
      <c r="A4" t="s">
        <v>50</v>
      </c>
      <c r="B4" s="2">
        <v>46027</v>
      </c>
      <c r="C4" t="s">
        <v>51</v>
      </c>
      <c r="D4" t="s">
        <v>21</v>
      </c>
      <c r="E4" t="str">
        <f>VLOOKUP(tblstockin[[#This Row],[Item Code]],tblItem[[#All],[Item Code]:[Item Name]],2,0)</f>
        <v>Ballpoint Pen</v>
      </c>
      <c r="F4" t="str">
        <f>VLOOKUP(tblstockin[[#This Row],[Item Code]],tblItem[[#All],[Item Code]:[Category]],3,0)</f>
        <v>Stationery</v>
      </c>
      <c r="G4">
        <v>500</v>
      </c>
      <c r="H4" s="3">
        <f>VLOOKUP(tblstockin[[#This Row],[Item Code]],tblItem[#All],6,0)</f>
        <v>4500</v>
      </c>
      <c r="I4" s="3">
        <f>tblstockin[[#This Row],[Unit Cost]]*tblstockin[[#This Row],[Qty]]</f>
        <v>2250000</v>
      </c>
    </row>
    <row r="5" spans="1:9" x14ac:dyDescent="0.25">
      <c r="A5" t="s">
        <v>52</v>
      </c>
      <c r="B5" s="2">
        <v>46032</v>
      </c>
      <c r="C5" t="s">
        <v>53</v>
      </c>
      <c r="D5" t="s">
        <v>24</v>
      </c>
      <c r="E5" t="str">
        <f>VLOOKUP(tblstockin[[#This Row],[Item Code]],tblItem[[#All],[Item Code]:[Item Name]],2,0)</f>
        <v>Notebook A5</v>
      </c>
      <c r="F5" t="str">
        <f>VLOOKUP(tblstockin[[#This Row],[Item Code]],tblItem[[#All],[Item Code]:[Category]],3,0)</f>
        <v>Stationery</v>
      </c>
      <c r="G5">
        <v>150</v>
      </c>
      <c r="H5" s="3">
        <f>VLOOKUP(tblstockin[[#This Row],[Item Code]],tblItem[#All],6,0)</f>
        <v>18000</v>
      </c>
      <c r="I5" s="3">
        <f>tblstockin[[#This Row],[Unit Cost]]*tblstockin[[#This Row],[Qty]]</f>
        <v>2700000</v>
      </c>
    </row>
    <row r="6" spans="1:9" x14ac:dyDescent="0.25">
      <c r="A6" t="s">
        <v>54</v>
      </c>
      <c r="B6" s="2">
        <v>46037</v>
      </c>
      <c r="C6" t="s">
        <v>49</v>
      </c>
      <c r="D6" t="s">
        <v>26</v>
      </c>
      <c r="E6" t="str">
        <f>VLOOKUP(tblstockin[[#This Row],[Item Code]],tblItem[[#All],[Item Code]:[Item Name]],2,0)</f>
        <v>Printer Ink</v>
      </c>
      <c r="F6" t="str">
        <f>VLOOKUP(tblstockin[[#This Row],[Item Code]],tblItem[[#All],[Item Code]:[Category]],3,0)</f>
        <v>Office Equipment</v>
      </c>
      <c r="G6">
        <v>30</v>
      </c>
      <c r="H6" s="3">
        <f>VLOOKUP(tblstockin[[#This Row],[Item Code]],tblItem[#All],6,0)</f>
        <v>95000</v>
      </c>
      <c r="I6" s="3">
        <f>tblstockin[[#This Row],[Unit Cost]]*tblstockin[[#This Row],[Qty]]</f>
        <v>2850000</v>
      </c>
    </row>
    <row r="7" spans="1:9" x14ac:dyDescent="0.25">
      <c r="A7" t="s">
        <v>55</v>
      </c>
      <c r="B7" s="2">
        <v>46040</v>
      </c>
      <c r="C7" t="s">
        <v>56</v>
      </c>
      <c r="D7" t="s">
        <v>31</v>
      </c>
      <c r="E7" t="str">
        <f>VLOOKUP(tblstockin[[#This Row],[Item Code]],tblItem[[#All],[Item Code]:[Item Name]],2,0)</f>
        <v>Mouse Wireless</v>
      </c>
      <c r="F7" t="str">
        <f>VLOOKUP(tblstockin[[#This Row],[Item Code]],tblItem[[#All],[Item Code]:[Category]],3,0)</f>
        <v>Computer Accessories</v>
      </c>
      <c r="G7">
        <v>50</v>
      </c>
      <c r="H7" s="3">
        <f>VLOOKUP(tblstockin[[#This Row],[Item Code]],tblItem[#All],6,0)</f>
        <v>120000</v>
      </c>
      <c r="I7" s="3">
        <f>tblstockin[[#This Row],[Unit Cost]]*tblstockin[[#This Row],[Qty]]</f>
        <v>6000000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C10" sqref="C10"/>
    </sheetView>
  </sheetViews>
  <sheetFormatPr defaultRowHeight="15" x14ac:dyDescent="0.25"/>
  <cols>
    <col min="1" max="1" width="13.140625" bestFit="1" customWidth="1"/>
    <col min="2" max="2" width="10.85546875" customWidth="1"/>
    <col min="3" max="3" width="16.28515625" bestFit="1" customWidth="1"/>
    <col min="4" max="4" width="14.7109375" bestFit="1" customWidth="1"/>
    <col min="5" max="5" width="15.28515625" bestFit="1" customWidth="1"/>
    <col min="6" max="6" width="20.85546875" bestFit="1" customWidth="1"/>
    <col min="8" max="8" width="13.7109375" bestFit="1" customWidth="1"/>
    <col min="9" max="9" width="14.28515625" bestFit="1" customWidth="1"/>
  </cols>
  <sheetData>
    <row r="1" spans="1:9" ht="23.25" x14ac:dyDescent="0.35">
      <c r="A1" s="36" t="s">
        <v>79</v>
      </c>
      <c r="B1" s="36"/>
      <c r="C1" s="36"/>
      <c r="D1" s="36"/>
      <c r="E1" s="36"/>
      <c r="F1" s="36"/>
      <c r="G1" s="36"/>
      <c r="H1" s="36"/>
      <c r="I1" s="36"/>
    </row>
    <row r="2" spans="1:9" x14ac:dyDescent="0.25">
      <c r="A2" s="4" t="s">
        <v>57</v>
      </c>
      <c r="B2" s="4" t="s">
        <v>43</v>
      </c>
      <c r="C2" s="4" t="s">
        <v>58</v>
      </c>
      <c r="D2" s="4" t="s">
        <v>12</v>
      </c>
      <c r="E2" s="4" t="s">
        <v>59</v>
      </c>
      <c r="F2" s="4" t="s">
        <v>14</v>
      </c>
      <c r="G2" s="4" t="s">
        <v>45</v>
      </c>
      <c r="H2" s="4" t="s">
        <v>46</v>
      </c>
      <c r="I2" s="4" t="s">
        <v>47</v>
      </c>
    </row>
    <row r="3" spans="1:9" x14ac:dyDescent="0.25">
      <c r="A3" t="s">
        <v>60</v>
      </c>
      <c r="B3" s="2">
        <v>46027</v>
      </c>
      <c r="C3" t="s">
        <v>61</v>
      </c>
      <c r="D3" t="s">
        <v>18</v>
      </c>
      <c r="E3" t="str">
        <f>VLOOKUP(tblstockout[[#This Row],[Item Code]],tblItem[[#All],[Item Code]:[Item Name]],2,0)</f>
        <v>A4 Paper</v>
      </c>
      <c r="F3" t="str">
        <f>VLOOKUP(tblstockout[[#This Row],[Item Code]],tblItem[[#All],[Item Code]:[Category]],3,0)</f>
        <v>Stationery</v>
      </c>
      <c r="G3">
        <v>5</v>
      </c>
      <c r="H3" s="1">
        <f>VLOOKUP(tblstockout[[#This Row],[Item Code]],tblItem[],6,0)</f>
        <v>55000</v>
      </c>
      <c r="I3" s="1">
        <f>tblstockout[[#This Row],[Unit Cost]]*tblstockout[[#This Row],[Qty]]</f>
        <v>275000</v>
      </c>
    </row>
    <row r="4" spans="1:9" x14ac:dyDescent="0.25">
      <c r="A4" t="s">
        <v>62</v>
      </c>
      <c r="B4" s="5">
        <v>46032</v>
      </c>
      <c r="C4" t="s">
        <v>63</v>
      </c>
      <c r="D4" t="s">
        <v>21</v>
      </c>
      <c r="E4" t="str">
        <f>VLOOKUP(tblstockout[[#This Row],[Item Code]],tblItem[[#All],[Item Code]:[Item Name]],2,0)</f>
        <v>Ballpoint Pen</v>
      </c>
      <c r="F4" t="str">
        <f>VLOOKUP(tblstockout[[#This Row],[Item Code]],tblItem[[#All],[Item Code]:[Category]],3,0)</f>
        <v>Stationery</v>
      </c>
      <c r="G4">
        <v>20</v>
      </c>
      <c r="H4" s="1">
        <f>VLOOKUP(tblstockout[[#This Row],[Item Code]],tblItem[],6,0)</f>
        <v>4500</v>
      </c>
      <c r="I4" s="1">
        <f>tblstockout[[#This Row],[Unit Cost]]*tblstockout[[#This Row],[Qty]]</f>
        <v>90000</v>
      </c>
    </row>
    <row r="5" spans="1:9" x14ac:dyDescent="0.25">
      <c r="A5" t="s">
        <v>64</v>
      </c>
      <c r="B5" s="2">
        <v>46042</v>
      </c>
      <c r="C5" t="s">
        <v>65</v>
      </c>
      <c r="D5" t="s">
        <v>31</v>
      </c>
      <c r="E5" t="str">
        <f>VLOOKUP(tblstockout[[#This Row],[Item Code]],tblItem[[#All],[Item Code]:[Item Name]],2,0)</f>
        <v>Mouse Wireless</v>
      </c>
      <c r="F5" t="str">
        <f>VLOOKUP(tblstockout[[#This Row],[Item Code]],tblItem[[#All],[Item Code]:[Category]],3,0)</f>
        <v>Computer Accessories</v>
      </c>
      <c r="G5">
        <v>2</v>
      </c>
      <c r="H5" s="1">
        <f>VLOOKUP(tblstockout[[#This Row],[Item Code]],tblItem[],6,0)</f>
        <v>120000</v>
      </c>
      <c r="I5" s="1">
        <f>tblstockout[[#This Row],[Unit Cost]]*tblstockout[[#This Row],[Qty]]</f>
        <v>240000</v>
      </c>
    </row>
    <row r="6" spans="1:9" x14ac:dyDescent="0.25">
      <c r="H6" s="1"/>
      <c r="I6" s="1"/>
    </row>
  </sheetData>
  <mergeCells count="1">
    <mergeCell ref="A1:I1"/>
  </mergeCells>
  <pageMargins left="0.7" right="0.7" top="0.75" bottom="0.75" header="0.3" footer="0.3"/>
  <pageSetup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'Department Master'!$A$1:$A$8</xm:f>
          </x14:formula1>
          <xm:sqref>C3:C5</xm:sqref>
        </x14:dataValidation>
        <x14:dataValidation type="list" allowBlank="1" showInputMessage="1" showErrorMessage="1">
          <x14:formula1>
            <xm:f>'Item Master'!$A$2:$A$11</xm:f>
          </x14:formula1>
          <xm:sqref>D3:D5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E17" sqref="E17"/>
    </sheetView>
  </sheetViews>
  <sheetFormatPr defaultRowHeight="15" x14ac:dyDescent="0.25"/>
  <cols>
    <col min="1" max="1" width="19.140625" bestFit="1" customWidth="1"/>
    <col min="2" max="2" width="9.7109375" bestFit="1" customWidth="1"/>
    <col min="3" max="3" width="12.85546875" bestFit="1" customWidth="1"/>
    <col min="4" max="4" width="13.140625" bestFit="1" customWidth="1"/>
    <col min="5" max="5" width="22.7109375" bestFit="1" customWidth="1"/>
  </cols>
  <sheetData>
    <row r="1" spans="1:9" ht="23.25" x14ac:dyDescent="0.35">
      <c r="A1" s="36" t="s">
        <v>103</v>
      </c>
      <c r="B1" s="36"/>
      <c r="C1" s="36"/>
      <c r="D1" s="36"/>
      <c r="E1" s="36"/>
      <c r="F1" s="14"/>
      <c r="G1" s="14"/>
      <c r="H1" s="14"/>
      <c r="I1" s="14"/>
    </row>
    <row r="2" spans="1:9" x14ac:dyDescent="0.25">
      <c r="A2" s="4" t="s">
        <v>70</v>
      </c>
      <c r="B2" s="4" t="s">
        <v>43</v>
      </c>
      <c r="C2" s="4" t="s">
        <v>59</v>
      </c>
      <c r="D2" s="4" t="s">
        <v>71</v>
      </c>
      <c r="E2" s="4" t="s">
        <v>72</v>
      </c>
    </row>
    <row r="3" spans="1:9" x14ac:dyDescent="0.25">
      <c r="A3" t="s">
        <v>73</v>
      </c>
      <c r="B3" s="2">
        <v>46052</v>
      </c>
      <c r="C3" t="s">
        <v>19</v>
      </c>
      <c r="D3">
        <v>-2</v>
      </c>
      <c r="E3" t="s">
        <v>74</v>
      </c>
    </row>
    <row r="4" spans="1:9" x14ac:dyDescent="0.25">
      <c r="A4" t="s">
        <v>75</v>
      </c>
      <c r="B4" s="2">
        <v>46053</v>
      </c>
      <c r="C4" t="s">
        <v>22</v>
      </c>
      <c r="D4">
        <v>5</v>
      </c>
      <c r="E4" t="s">
        <v>76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G21" sqref="G21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20.85546875" bestFit="1" customWidth="1"/>
    <col min="4" max="4" width="9.42578125" bestFit="1" customWidth="1"/>
    <col min="5" max="5" width="14.28515625" bestFit="1" customWidth="1"/>
    <col min="6" max="6" width="12.42578125" bestFit="1" customWidth="1"/>
    <col min="7" max="7" width="14" bestFit="1" customWidth="1"/>
    <col min="8" max="8" width="17.42578125" bestFit="1" customWidth="1"/>
    <col min="9" max="9" width="13.7109375" bestFit="1" customWidth="1"/>
    <col min="10" max="10" width="19.28515625" bestFit="1" customWidth="1"/>
    <col min="11" max="11" width="16.140625" bestFit="1" customWidth="1"/>
  </cols>
  <sheetData>
    <row r="1" spans="1:11" ht="23.25" x14ac:dyDescent="0.35">
      <c r="A1" s="36" t="s">
        <v>104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23.25" x14ac:dyDescent="0.35">
      <c r="A2" s="36" t="s">
        <v>105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ht="15.75" x14ac:dyDescent="0.25">
      <c r="A3" s="37" t="s">
        <v>106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4" t="s">
        <v>12</v>
      </c>
      <c r="B4" s="4" t="s">
        <v>13</v>
      </c>
      <c r="C4" s="4" t="s">
        <v>14</v>
      </c>
      <c r="D4" s="4" t="s">
        <v>15</v>
      </c>
      <c r="E4" s="4" t="s">
        <v>77</v>
      </c>
      <c r="F4" s="4" t="s">
        <v>78</v>
      </c>
      <c r="G4" s="4" t="s">
        <v>79</v>
      </c>
      <c r="H4" s="4" t="s">
        <v>80</v>
      </c>
      <c r="I4" s="4" t="s">
        <v>46</v>
      </c>
      <c r="J4" s="6" t="s">
        <v>81</v>
      </c>
      <c r="K4" s="4" t="s">
        <v>82</v>
      </c>
    </row>
    <row r="5" spans="1:11" x14ac:dyDescent="0.25">
      <c r="A5" t="s">
        <v>18</v>
      </c>
      <c r="B5" t="str">
        <f>VLOOKUP(tblinvreport[Item Code],tblItem[[#All],[Item Code]:[Item Name]],2,0)</f>
        <v>A4 Paper</v>
      </c>
      <c r="C5" t="str">
        <f>VLOOKUP(tblinvreport[Item Code],tblItem[[#All],[Item Code]:[Category]],3,)</f>
        <v>Stationery</v>
      </c>
      <c r="D5" t="str">
        <f>VLOOKUP(tblinvreport[Item Code],tblItem[[#All],[Item Code]:[Unit]],4,0)</f>
        <v>Rim</v>
      </c>
      <c r="E5">
        <f>VLOOKUP(tblinvreport[Item Code],tblItem[[#All],[Item Code]:[Minimum Stock]],5,0)</f>
        <v>50</v>
      </c>
      <c r="F5">
        <f>SUMIFS(tblstockin[Qty],tblstockin[Item Code],tblstockin[[#This Row],[Item Code]])</f>
        <v>150</v>
      </c>
      <c r="G5">
        <f>SUMIFS(tblstockout[Qty],tblstockout[Item Code],tblstockout[[#This Row],[Item Code]])</f>
        <v>2</v>
      </c>
      <c r="H5">
        <f>tblinvreport[Stock In]-tblinvreport[Stock Out]</f>
        <v>148</v>
      </c>
      <c r="I5" s="1">
        <f>VLOOKUP(tblinvreport[Item Code],tblItem[#All],6,0)</f>
        <v>55000</v>
      </c>
      <c r="J5" s="1">
        <f>tblinvreport[Current Stock]*tblinvreport[Unit Cost]</f>
        <v>8140000</v>
      </c>
      <c r="K5" t="str">
        <f>IF(tblinvreport[Current Stock]=0,"Out of Stock",IF(tblinvreport[Current Stock]&lt;=tblinvreport[Min Stock],"Low Stock","In Stock"))</f>
        <v>In Stock</v>
      </c>
    </row>
    <row r="6" spans="1:11" x14ac:dyDescent="0.25">
      <c r="A6" t="s">
        <v>21</v>
      </c>
      <c r="B6" t="str">
        <f>VLOOKUP(tblinvreport[Item Code],tblItem[[#All],[Item Code]:[Item Name]],2,0)</f>
        <v>Ballpoint Pen</v>
      </c>
      <c r="C6" t="str">
        <f>VLOOKUP(tblinvreport[Item Code],tblItem[[#All],[Item Code]:[Category]],3,)</f>
        <v>Stationery</v>
      </c>
      <c r="D6" t="str">
        <f>VLOOKUP(tblinvreport[Item Code],tblItem[[#All],[Item Code]:[Unit]],4,0)</f>
        <v>Pcs</v>
      </c>
      <c r="E6">
        <f>VLOOKUP(tblinvreport[Item Code],tblItem[[#All],[Item Code]:[Minimum Stock]],5,0)</f>
        <v>200</v>
      </c>
      <c r="F6">
        <f>SUMIFS(tblstockin[Qty],tblstockin[Item Code],tblstockin[[#This Row],[Item Code]])</f>
        <v>30</v>
      </c>
      <c r="G6">
        <f>SUMIFS(tblstockout[Qty],tblstockout[Item Code],tblstockout[[#This Row],[Item Code]])</f>
        <v>0</v>
      </c>
      <c r="H6">
        <f>tblinvreport[Stock In]-tblinvreport[Stock Out]</f>
        <v>30</v>
      </c>
      <c r="I6" s="1">
        <f>VLOOKUP(tblinvreport[Item Code],tblItem[#All],6,0)</f>
        <v>4500</v>
      </c>
      <c r="J6" s="1">
        <f>tblinvreport[Current Stock]*tblinvreport[Unit Cost]</f>
        <v>135000</v>
      </c>
      <c r="K6" t="str">
        <f>IF(tblinvreport[Current Stock]=0,"Out of Stock",IF(tblinvreport[Current Stock]&lt;=tblinvreport[Min Stock],"Low Stock","In Stock"))</f>
        <v>Low Stock</v>
      </c>
    </row>
    <row r="7" spans="1:11" x14ac:dyDescent="0.25">
      <c r="A7" t="s">
        <v>24</v>
      </c>
      <c r="B7" t="str">
        <f>VLOOKUP(tblinvreport[Item Code],tblItem[[#All],[Item Code]:[Item Name]],2,0)</f>
        <v>Notebook A5</v>
      </c>
      <c r="C7" t="str">
        <f>VLOOKUP(tblinvreport[Item Code],tblItem[[#All],[Item Code]:[Category]],3,)</f>
        <v>Stationery</v>
      </c>
      <c r="D7" t="str">
        <f>VLOOKUP(tblinvreport[Item Code],tblItem[[#All],[Item Code]:[Unit]],4,0)</f>
        <v>Pcs</v>
      </c>
      <c r="E7">
        <f>VLOOKUP(tblinvreport[Item Code],tblItem[[#All],[Item Code]:[Minimum Stock]],5,0)</f>
        <v>100</v>
      </c>
      <c r="F7">
        <f>SUMIFS(tblstockin[Qty],tblstockin[Item Code],tblstockin[[#This Row],[Item Code]])</f>
        <v>50</v>
      </c>
      <c r="G7">
        <f>SUMIFS(tblstockout[Qty],tblstockout[Item Code],tblstockout[[#This Row],[Item Code]])</f>
        <v>0</v>
      </c>
      <c r="H7">
        <f>tblinvreport[Stock In]-tblinvreport[Stock Out]</f>
        <v>50</v>
      </c>
      <c r="I7" s="1">
        <f>VLOOKUP(tblinvreport[Item Code],tblItem[#All],6,0)</f>
        <v>18000</v>
      </c>
      <c r="J7" s="1">
        <f>tblinvreport[Current Stock]*tblinvreport[Unit Cost]</f>
        <v>900000</v>
      </c>
      <c r="K7" t="str">
        <f>IF(tblinvreport[Current Stock]=0,"Out of Stock",IF(tblinvreport[Current Stock]&lt;=tblinvreport[Min Stock],"Low Stock","In Stock"))</f>
        <v>Low Stock</v>
      </c>
    </row>
    <row r="8" spans="1:11" x14ac:dyDescent="0.25">
      <c r="A8" t="s">
        <v>26</v>
      </c>
      <c r="B8" t="str">
        <f>VLOOKUP(tblinvreport[Item Code],tblItem[[#All],[Item Code]:[Item Name]],2,0)</f>
        <v>Printer Ink</v>
      </c>
      <c r="C8" t="str">
        <f>VLOOKUP(tblinvreport[Item Code],tblItem[[#All],[Item Code]:[Category]],3,)</f>
        <v>Office Equipment</v>
      </c>
      <c r="D8" t="str">
        <f>VLOOKUP(tblinvreport[Item Code],tblItem[[#All],[Item Code]:[Unit]],4,0)</f>
        <v>Box</v>
      </c>
      <c r="E8">
        <f>VLOOKUP(tblinvreport[Item Code],tblItem[[#All],[Item Code]:[Minimum Stock]],5,0)</f>
        <v>20</v>
      </c>
      <c r="F8">
        <f>SUMIFS(tblstockin[Qty],tblstockin[Item Code],tblstockin[[#This Row],[Item Code]])</f>
        <v>0</v>
      </c>
      <c r="G8">
        <f>SUMIFS(tblstockout[Qty],tblstockout[Item Code],tblstockout[[#This Row],[Item Code]])</f>
        <v>0</v>
      </c>
      <c r="H8">
        <f>tblinvreport[Stock In]-tblinvreport[Stock Out]</f>
        <v>0</v>
      </c>
      <c r="I8" s="1">
        <f>VLOOKUP(tblinvreport[Item Code],tblItem[#All],6,0)</f>
        <v>95000</v>
      </c>
      <c r="J8" s="1">
        <f>tblinvreport[Current Stock]*tblinvreport[Unit Cost]</f>
        <v>0</v>
      </c>
      <c r="K8" t="str">
        <f>IF(tblinvreport[Current Stock]=0,"Out of Stock",IF(tblinvreport[Current Stock]&lt;=tblinvreport[Min Stock],"Low Stock","In Stock"))</f>
        <v>Out of Stock</v>
      </c>
    </row>
    <row r="9" spans="1:11" x14ac:dyDescent="0.25">
      <c r="A9" t="s">
        <v>29</v>
      </c>
      <c r="B9" t="str">
        <f>VLOOKUP(tblinvreport[Item Code],tblItem[[#All],[Item Code]:[Item Name]],2,0)</f>
        <v>Stapler</v>
      </c>
      <c r="C9" t="str">
        <f>VLOOKUP(tblinvreport[Item Code],tblItem[[#All],[Item Code]:[Category]],3,)</f>
        <v>Office Equipment</v>
      </c>
      <c r="D9" t="str">
        <f>VLOOKUP(tblinvreport[Item Code],tblItem[[#All],[Item Code]:[Unit]],4,0)</f>
        <v>Pcs</v>
      </c>
      <c r="E9">
        <f>VLOOKUP(tblinvreport[Item Code],tblItem[[#All],[Item Code]:[Minimum Stock]],5,0)</f>
        <v>15</v>
      </c>
      <c r="F9">
        <f>SUMIFS(tblstockin[Qty],tblstockin[Item Code],tblstockin[[#This Row],[Item Code]])</f>
        <v>0</v>
      </c>
      <c r="G9">
        <f>SUMIFS(tblstockout[Qty],tblstockout[Item Code],tblstockout[[#This Row],[Item Code]])</f>
        <v>0</v>
      </c>
      <c r="H9">
        <f>tblinvreport[Stock In]-tblinvreport[Stock Out]</f>
        <v>0</v>
      </c>
      <c r="I9" s="1">
        <f>VLOOKUP(tblinvreport[Item Code],tblItem[#All],6,0)</f>
        <v>75000</v>
      </c>
      <c r="J9" s="1">
        <f>tblinvreport[Current Stock]*tblinvreport[Unit Cost]</f>
        <v>0</v>
      </c>
      <c r="K9" t="str">
        <f>IF(tblinvreport[Current Stock]=0,"Out of Stock",IF(tblinvreport[Current Stock]&lt;=tblinvreport[Min Stock],"Low Stock","In Stock"))</f>
        <v>Out of Stock</v>
      </c>
    </row>
    <row r="10" spans="1:11" x14ac:dyDescent="0.25">
      <c r="A10" t="s">
        <v>31</v>
      </c>
      <c r="B10" t="str">
        <f>VLOOKUP(tblinvreport[Item Code],tblItem[[#All],[Item Code]:[Item Name]],2,0)</f>
        <v>Mouse Wireless</v>
      </c>
      <c r="C10" t="str">
        <f>VLOOKUP(tblinvreport[Item Code],tblItem[[#All],[Item Code]:[Category]],3,)</f>
        <v>Computer Accessories</v>
      </c>
      <c r="D10" t="str">
        <f>VLOOKUP(tblinvreport[Item Code],tblItem[[#All],[Item Code]:[Unit]],4,0)</f>
        <v>Pcs</v>
      </c>
      <c r="E10">
        <f>VLOOKUP(tblinvreport[Item Code],tblItem[[#All],[Item Code]:[Minimum Stock]],5,0)</f>
        <v>25</v>
      </c>
      <c r="F10">
        <f>SUMIFS(tblstockin[Qty],tblstockin[Item Code],tblstockin[[#This Row],[Item Code]])</f>
        <v>0</v>
      </c>
      <c r="G10">
        <f>SUMIFS(tblstockout[Qty],tblstockout[Item Code],tblstockout[[#This Row],[Item Code]])</f>
        <v>0</v>
      </c>
      <c r="H10">
        <f>tblinvreport[Stock In]-tblinvreport[Stock Out]</f>
        <v>0</v>
      </c>
      <c r="I10" s="1">
        <f>VLOOKUP(tblinvreport[Item Code],tblItem[#All],6,0)</f>
        <v>120000</v>
      </c>
      <c r="J10" s="1">
        <f>tblinvreport[Current Stock]*tblinvreport[Unit Cost]</f>
        <v>0</v>
      </c>
      <c r="K10" t="str">
        <f>IF(tblinvreport[Current Stock]=0,"Out of Stock",IF(tblinvreport[Current Stock]&lt;=tblinvreport[Min Stock],"Low Stock","In Stock"))</f>
        <v>Out of Stock</v>
      </c>
    </row>
    <row r="11" spans="1:11" x14ac:dyDescent="0.25">
      <c r="A11" t="s">
        <v>33</v>
      </c>
      <c r="B11" t="str">
        <f>VLOOKUP(tblinvreport[Item Code],tblItem[[#All],[Item Code]:[Item Name]],2,0)</f>
        <v>Keyboard</v>
      </c>
      <c r="C11" t="str">
        <f>VLOOKUP(tblinvreport[Item Code],tblItem[[#All],[Item Code]:[Category]],3,)</f>
        <v>Computer Accessories</v>
      </c>
      <c r="D11" t="str">
        <f>VLOOKUP(tblinvreport[Item Code],tblItem[[#All],[Item Code]:[Unit]],4,0)</f>
        <v>Pcs</v>
      </c>
      <c r="E11">
        <f>VLOOKUP(tblinvreport[Item Code],tblItem[[#All],[Item Code]:[Minimum Stock]],5,0)</f>
        <v>20</v>
      </c>
      <c r="F11">
        <f>SUMIFS(tblstockin[Qty],tblstockin[Item Code],tblstockin[[#This Row],[Item Code]])</f>
        <v>0</v>
      </c>
      <c r="G11">
        <f>SUMIFS(tblstockout[Qty],tblstockout[Item Code],tblstockout[[#This Row],[Item Code]])</f>
        <v>0</v>
      </c>
      <c r="H11">
        <f>tblinvreport[Stock In]-tblinvreport[Stock Out]</f>
        <v>0</v>
      </c>
      <c r="I11" s="1">
        <f>VLOOKUP(tblinvreport[Item Code],tblItem[#All],6,0)</f>
        <v>175000</v>
      </c>
      <c r="J11" s="1">
        <f>tblinvreport[Current Stock]*tblinvreport[Unit Cost]</f>
        <v>0</v>
      </c>
      <c r="K11" t="str">
        <f>IF(tblinvreport[Current Stock]=0,"Out of Stock",IF(tblinvreport[Current Stock]&lt;=tblinvreport[Min Stock],"Low Stock","In Stock"))</f>
        <v>Out of Stock</v>
      </c>
    </row>
    <row r="12" spans="1:11" x14ac:dyDescent="0.25">
      <c r="A12" t="s">
        <v>35</v>
      </c>
      <c r="B12" t="str">
        <f>VLOOKUP(tblinvreport[Item Code],tblItem[[#All],[Item Code]:[Item Name]],2,0)</f>
        <v>Coffee</v>
      </c>
      <c r="C12" t="str">
        <f>VLOOKUP(tblinvreport[Item Code],tblItem[[#All],[Item Code]:[Category]],3,)</f>
        <v>Pantry</v>
      </c>
      <c r="D12" t="str">
        <f>VLOOKUP(tblinvreport[Item Code],tblItem[[#All],[Item Code]:[Unit]],4,0)</f>
        <v>Pack</v>
      </c>
      <c r="E12">
        <f>VLOOKUP(tblinvreport[Item Code],tblItem[[#All],[Item Code]:[Minimum Stock]],5,0)</f>
        <v>30</v>
      </c>
      <c r="F12">
        <f>SUMIFS(tblstockin[Qty],tblstockin[Item Code],tblstockin[[#This Row],[Item Code]])</f>
        <v>0</v>
      </c>
      <c r="G12">
        <f>SUMIFS(tblstockout[Qty],tblstockout[Item Code],tblstockout[[#This Row],[Item Code]])</f>
        <v>0</v>
      </c>
      <c r="H12">
        <f>tblinvreport[Stock In]-tblinvreport[Stock Out]</f>
        <v>0</v>
      </c>
      <c r="I12" s="1">
        <f>VLOOKUP(tblinvreport[Item Code],tblItem[#All],6,0)</f>
        <v>45000</v>
      </c>
      <c r="J12" s="1">
        <f>tblinvreport[Current Stock]*tblinvreport[Unit Cost]</f>
        <v>0</v>
      </c>
      <c r="K12" t="str">
        <f>IF(tblinvreport[Current Stock]=0,"Out of Stock",IF(tblinvreport[Current Stock]&lt;=tblinvreport[Min Stock],"Low Stock","In Stock"))</f>
        <v>Out of Stock</v>
      </c>
    </row>
    <row r="13" spans="1:11" x14ac:dyDescent="0.25">
      <c r="A13" t="s">
        <v>38</v>
      </c>
      <c r="B13" t="str">
        <f>VLOOKUP(tblinvreport[Item Code],tblItem[[#All],[Item Code]:[Item Name]],2,0)</f>
        <v>Tissue</v>
      </c>
      <c r="C13" t="str">
        <f>VLOOKUP(tblinvreport[Item Code],tblItem[[#All],[Item Code]:[Category]],3,)</f>
        <v>Cleaning Supplies</v>
      </c>
      <c r="D13" t="str">
        <f>VLOOKUP(tblinvreport[Item Code],tblItem[[#All],[Item Code]:[Unit]],4,0)</f>
        <v>Pack</v>
      </c>
      <c r="E13">
        <f>VLOOKUP(tblinvreport[Item Code],tblItem[[#All],[Item Code]:[Minimum Stock]],5,0)</f>
        <v>40</v>
      </c>
      <c r="F13">
        <f>SUMIFS(tblstockin[Qty],tblstockin[Item Code],tblstockin[[#This Row],[Item Code]])</f>
        <v>0</v>
      </c>
      <c r="G13">
        <f>SUMIFS(tblstockout[Qty],tblstockout[Item Code],tblstockout[[#This Row],[Item Code]])</f>
        <v>0</v>
      </c>
      <c r="H13">
        <f>tblinvreport[Stock In]-tblinvreport[Stock Out]</f>
        <v>0</v>
      </c>
      <c r="I13" s="1">
        <f>VLOOKUP(tblinvreport[Item Code],tblItem[#All],6,0)</f>
        <v>18000</v>
      </c>
      <c r="J13" s="1">
        <f>tblinvreport[Current Stock]*tblinvreport[Unit Cost]</f>
        <v>0</v>
      </c>
      <c r="K13" t="str">
        <f>IF(tblinvreport[Current Stock]=0,"Out of Stock",IF(tblinvreport[Current Stock]&lt;=tblinvreport[Min Stock],"Low Stock","In Stock"))</f>
        <v>Out of Stock</v>
      </c>
    </row>
    <row r="14" spans="1:11" x14ac:dyDescent="0.25">
      <c r="A14" t="s">
        <v>40</v>
      </c>
      <c r="B14" t="str">
        <f>VLOOKUP(tblinvreport[Item Code],tblItem[[#All],[Item Code]:[Item Name]],2,0)</f>
        <v>Whiteboard Marker</v>
      </c>
      <c r="C14" t="str">
        <f>VLOOKUP(tblinvreport[Item Code],tblItem[[#All],[Item Code]:[Category]],3,)</f>
        <v>Stationery</v>
      </c>
      <c r="D14" t="str">
        <f>VLOOKUP(tblinvreport[Item Code],tblItem[[#All],[Item Code]:[Unit]],4,0)</f>
        <v>Box</v>
      </c>
      <c r="E14">
        <f>VLOOKUP(tblinvreport[Item Code],tblItem[[#All],[Item Code]:[Minimum Stock]],5,0)</f>
        <v>25</v>
      </c>
      <c r="F14">
        <f>SUMIFS(tblstockin[Qty],tblstockin[Item Code],tblstockin[[#This Row],[Item Code]])</f>
        <v>0</v>
      </c>
      <c r="G14">
        <f>SUMIFS(tblstockout[Qty],tblstockout[Item Code],tblstockout[[#This Row],[Item Code]])</f>
        <v>0</v>
      </c>
      <c r="H14">
        <f>tblinvreport[Stock In]-tblinvreport[Stock Out]</f>
        <v>0</v>
      </c>
      <c r="I14" s="1">
        <f>VLOOKUP(tblinvreport[Item Code],tblItem[#All],6,0)</f>
        <v>38000</v>
      </c>
      <c r="J14" s="1">
        <f>tblinvreport[Current Stock]*tblinvreport[Unit Cost]</f>
        <v>0</v>
      </c>
      <c r="K14" t="str">
        <f>IF(tblinvreport[Current Stock]=0,"Out of Stock",IF(tblinvreport[Current Stock]&lt;=tblinvreport[Min Stock],"Low Stock","In Stock"))</f>
        <v>Out of Stock</v>
      </c>
    </row>
  </sheetData>
  <mergeCells count="3">
    <mergeCell ref="A1:K1"/>
    <mergeCell ref="A2:K2"/>
    <mergeCell ref="A3:K3"/>
  </mergeCells>
  <conditionalFormatting sqref="K5:K14">
    <cfRule type="cellIs" dxfId="6" priority="1" operator="equal">
      <formula>"Low Stock"</formula>
    </cfRule>
    <cfRule type="cellIs" dxfId="5" priority="2" operator="equal">
      <formula>"Out of Stock"</formula>
    </cfRule>
    <cfRule type="cellIs" dxfId="4" priority="3" operator="equal">
      <formula>"In Stock"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'Item Master'!$A$2:$A$11</xm:f>
          </x14:formula1>
          <xm:sqref>A5:A14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Dashboard</vt:lpstr>
      <vt:lpstr>Summary</vt:lpstr>
      <vt:lpstr>Department Master</vt:lpstr>
      <vt:lpstr>Category Master</vt:lpstr>
      <vt:lpstr>Item Master</vt:lpstr>
      <vt:lpstr>Stock In</vt:lpstr>
      <vt:lpstr>Stock Out</vt:lpstr>
      <vt:lpstr>Stock Adjustment</vt:lpstr>
      <vt:lpstr>Inventory Report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Wahyuni</dc:creator>
  <cp:lastModifiedBy>Sri Wahyuni</cp:lastModifiedBy>
  <dcterms:created xsi:type="dcterms:W3CDTF">2026-07-06T05:00:23Z</dcterms:created>
  <dcterms:modified xsi:type="dcterms:W3CDTF">2026-07-09T08:34:46Z</dcterms:modified>
</cp:coreProperties>
</file>